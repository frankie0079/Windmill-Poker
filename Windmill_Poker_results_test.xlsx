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DEV\sandbox\Superpowers-Trial_one\"/>
    </mc:Choice>
  </mc:AlternateContent>
  <xr:revisionPtr revIDLastSave="0" documentId="8_{D60B6B1E-E3C7-4930-9F83-DA566A316593}" xr6:coauthVersionLast="47" xr6:coauthVersionMax="47" xr10:uidLastSave="{00000000-0000-0000-0000-000000000000}"/>
  <bookViews>
    <workbookView xWindow="-110" yWindow="-110" windowWidth="38620" windowHeight="21100" activeTab="2" xr2:uid="{00000000-000D-0000-FFFF-FFFF00000000}"/>
  </bookViews>
  <sheets>
    <sheet name="2025" sheetId="1" r:id="rId1"/>
    <sheet name="Backup19_02_26" sheetId="2" r:id="rId2"/>
    <sheet name="Auszahlungen" sheetId="3" r:id="rId3"/>
  </sheets>
  <definedNames>
    <definedName name="_xlnm.Print_Area" localSheetId="2">Auszahlungen!$A$1:$P$32</definedName>
    <definedName name="_xlnm.Print_Titles" localSheetId="2">Auszahlungen!$1:$1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7" roundtripDataChecksum="6EinOUvc3GG5MIJlxCVEVCvh90BdaJaL9np954NiCz8="/>
    </ext>
  </extLst>
</workbook>
</file>

<file path=xl/calcChain.xml><?xml version="1.0" encoding="utf-8"?>
<calcChain xmlns="http://schemas.openxmlformats.org/spreadsheetml/2006/main">
  <c r="V7" i="3" l="1"/>
  <c r="M19" i="3" s="1"/>
  <c r="N19" i="3" s="1"/>
  <c r="O19" i="3" s="1"/>
  <c r="O27" i="3"/>
  <c r="O26" i="3"/>
  <c r="O25" i="3"/>
  <c r="O24" i="3"/>
  <c r="O23" i="3"/>
  <c r="U16" i="3"/>
  <c r="T16" i="3"/>
  <c r="S16" i="3"/>
  <c r="W15" i="3"/>
  <c r="V15" i="3"/>
  <c r="M27" i="3" s="1"/>
  <c r="N27" i="3" s="1"/>
  <c r="W14" i="3"/>
  <c r="V14" i="3"/>
  <c r="M26" i="3" s="1"/>
  <c r="N26" i="3" s="1"/>
  <c r="W13" i="3"/>
  <c r="V13" i="3"/>
  <c r="M25" i="3" s="1"/>
  <c r="N25" i="3" s="1"/>
  <c r="W12" i="3"/>
  <c r="V12" i="3"/>
  <c r="M24" i="3" s="1"/>
  <c r="N24" i="3" s="1"/>
  <c r="W11" i="3"/>
  <c r="V11" i="3"/>
  <c r="M23" i="3" s="1"/>
  <c r="N23" i="3" s="1"/>
  <c r="W10" i="3"/>
  <c r="V10" i="3"/>
  <c r="M22" i="3" s="1"/>
  <c r="N22" i="3" s="1"/>
  <c r="O22" i="3" s="1"/>
  <c r="H10" i="3"/>
  <c r="W9" i="3"/>
  <c r="V9" i="3"/>
  <c r="M21" i="3" s="1"/>
  <c r="N21" i="3" s="1"/>
  <c r="O21" i="3" s="1"/>
  <c r="H9" i="3"/>
  <c r="W8" i="3"/>
  <c r="V8" i="3"/>
  <c r="M20" i="3" s="1"/>
  <c r="N20" i="3" s="1"/>
  <c r="O20" i="3" s="1"/>
  <c r="H8" i="3"/>
  <c r="W7" i="3"/>
  <c r="H7" i="3"/>
  <c r="W6" i="3"/>
  <c r="V6" i="3"/>
  <c r="M18" i="3" s="1"/>
  <c r="N18" i="3" s="1"/>
  <c r="O18" i="3" s="1"/>
  <c r="H6" i="3"/>
  <c r="W5" i="3"/>
  <c r="V5" i="3"/>
  <c r="M17" i="3" s="1"/>
  <c r="N17" i="3" s="1"/>
  <c r="O17" i="3" s="1"/>
  <c r="H5" i="3"/>
  <c r="X114" i="2"/>
  <c r="V114" i="2"/>
  <c r="R114" i="2"/>
  <c r="P114" i="2"/>
  <c r="L114" i="2"/>
  <c r="J114" i="2"/>
  <c r="V113" i="2"/>
  <c r="T113" i="2"/>
  <c r="P113" i="2"/>
  <c r="N113" i="2"/>
  <c r="T112" i="2"/>
  <c r="T111" i="2"/>
  <c r="R111" i="2"/>
  <c r="P111" i="2"/>
  <c r="V109" i="2"/>
  <c r="T109" i="2"/>
  <c r="R109" i="2"/>
  <c r="P109" i="2"/>
  <c r="N109" i="2"/>
  <c r="L109" i="2"/>
  <c r="AE108" i="2"/>
  <c r="P112" i="2" s="1"/>
  <c r="V104" i="2"/>
  <c r="T104" i="2"/>
  <c r="N104" i="2"/>
  <c r="AB103" i="2"/>
  <c r="Z103" i="2"/>
  <c r="X103" i="2"/>
  <c r="T103" i="2"/>
  <c r="R103" i="2"/>
  <c r="N103" i="2"/>
  <c r="L103" i="2"/>
  <c r="J103" i="2"/>
  <c r="AD102" i="2"/>
  <c r="AB102" i="2"/>
  <c r="Z102" i="2"/>
  <c r="X102" i="2"/>
  <c r="V102" i="2"/>
  <c r="T102" i="2"/>
  <c r="R102" i="2"/>
  <c r="P102" i="2"/>
  <c r="J102" i="2"/>
  <c r="AD101" i="2"/>
  <c r="T100" i="2"/>
  <c r="R100" i="2"/>
  <c r="P100" i="2"/>
  <c r="N100" i="2"/>
  <c r="L100" i="2"/>
  <c r="J100" i="2"/>
  <c r="AB99" i="2"/>
  <c r="Z99" i="2"/>
  <c r="V99" i="2"/>
  <c r="T99" i="2"/>
  <c r="R99" i="2"/>
  <c r="L99" i="2"/>
  <c r="J99" i="2"/>
  <c r="AD98" i="2"/>
  <c r="Z98" i="2"/>
  <c r="X98" i="2"/>
  <c r="R98" i="2"/>
  <c r="J98" i="2"/>
  <c r="AD97" i="2"/>
  <c r="AB97" i="2"/>
  <c r="Z97" i="2"/>
  <c r="AE96" i="2"/>
  <c r="V103" i="2" s="1"/>
  <c r="AD92" i="2"/>
  <c r="AB92" i="2"/>
  <c r="V92" i="2"/>
  <c r="N92" i="2"/>
  <c r="L92" i="2"/>
  <c r="J92" i="2"/>
  <c r="AD91" i="2"/>
  <c r="AD93" i="2" s="1"/>
  <c r="AB91" i="2"/>
  <c r="Z91" i="2"/>
  <c r="X91" i="2"/>
  <c r="V91" i="2"/>
  <c r="T91" i="2"/>
  <c r="R91" i="2"/>
  <c r="P91" i="2"/>
  <c r="N91" i="2"/>
  <c r="L91" i="2"/>
  <c r="J91" i="2"/>
  <c r="AD90" i="2"/>
  <c r="AB90" i="2"/>
  <c r="Z90" i="2"/>
  <c r="X90" i="2"/>
  <c r="V90" i="2"/>
  <c r="T90" i="2"/>
  <c r="R90" i="2"/>
  <c r="P90" i="2"/>
  <c r="N90" i="2"/>
  <c r="L90" i="2"/>
  <c r="J90" i="2"/>
  <c r="AD89" i="2"/>
  <c r="X89" i="2"/>
  <c r="P89" i="2"/>
  <c r="N89" i="2"/>
  <c r="L89" i="2"/>
  <c r="J89" i="2"/>
  <c r="AD88" i="2"/>
  <c r="AB88" i="2"/>
  <c r="Z88" i="2"/>
  <c r="X88" i="2"/>
  <c r="V88" i="2"/>
  <c r="T88" i="2"/>
  <c r="R88" i="2"/>
  <c r="P88" i="2"/>
  <c r="N88" i="2"/>
  <c r="L88" i="2"/>
  <c r="L93" i="2" s="1"/>
  <c r="J88" i="2"/>
  <c r="AD87" i="2"/>
  <c r="AB87" i="2"/>
  <c r="Z87" i="2"/>
  <c r="X87" i="2"/>
  <c r="V87" i="2"/>
  <c r="T87" i="2"/>
  <c r="R87" i="2"/>
  <c r="P87" i="2"/>
  <c r="N87" i="2"/>
  <c r="L87" i="2"/>
  <c r="J87" i="2"/>
  <c r="AE86" i="2"/>
  <c r="AD82" i="2"/>
  <c r="AB82" i="2"/>
  <c r="Z82" i="2"/>
  <c r="X82" i="2"/>
  <c r="V82" i="2"/>
  <c r="T82" i="2"/>
  <c r="R82" i="2"/>
  <c r="P82" i="2"/>
  <c r="N82" i="2"/>
  <c r="L82" i="2"/>
  <c r="J82" i="2"/>
  <c r="AD81" i="2"/>
  <c r="X81" i="2"/>
  <c r="V81" i="2"/>
  <c r="T81" i="2"/>
  <c r="P81" i="2"/>
  <c r="R80" i="2"/>
  <c r="P80" i="2"/>
  <c r="N80" i="2"/>
  <c r="L80" i="2"/>
  <c r="J80" i="2"/>
  <c r="AD79" i="2"/>
  <c r="AB79" i="2"/>
  <c r="Z79" i="2"/>
  <c r="X79" i="2"/>
  <c r="V79" i="2"/>
  <c r="T79" i="2"/>
  <c r="R79" i="2"/>
  <c r="P79" i="2"/>
  <c r="N79" i="2"/>
  <c r="L79" i="2"/>
  <c r="J79" i="2"/>
  <c r="Z78" i="2"/>
  <c r="X78" i="2"/>
  <c r="V78" i="2"/>
  <c r="T78" i="2"/>
  <c r="R78" i="2"/>
  <c r="P78" i="2"/>
  <c r="P83" i="2" s="1"/>
  <c r="J78" i="2"/>
  <c r="X77" i="2"/>
  <c r="V77" i="2"/>
  <c r="T77" i="2"/>
  <c r="P77" i="2"/>
  <c r="AE76" i="2"/>
  <c r="AD72" i="2"/>
  <c r="AB72" i="2"/>
  <c r="Z72" i="2"/>
  <c r="X72" i="2"/>
  <c r="V72" i="2"/>
  <c r="T72" i="2"/>
  <c r="P72" i="2"/>
  <c r="N72" i="2"/>
  <c r="AB71" i="2"/>
  <c r="Z71" i="2"/>
  <c r="X71" i="2"/>
  <c r="V71" i="2"/>
  <c r="T71" i="2"/>
  <c r="R71" i="2"/>
  <c r="P71" i="2"/>
  <c r="N71" i="2"/>
  <c r="L71" i="2"/>
  <c r="AD70" i="2"/>
  <c r="V70" i="2"/>
  <c r="T70" i="2"/>
  <c r="R70" i="2"/>
  <c r="P70" i="2"/>
  <c r="J70" i="2"/>
  <c r="AD69" i="2"/>
  <c r="AB69" i="2"/>
  <c r="Z69" i="2"/>
  <c r="X69" i="2"/>
  <c r="V69" i="2"/>
  <c r="R69" i="2"/>
  <c r="P69" i="2"/>
  <c r="AD68" i="2"/>
  <c r="AB68" i="2"/>
  <c r="Z68" i="2"/>
  <c r="X68" i="2"/>
  <c r="V68" i="2"/>
  <c r="T68" i="2"/>
  <c r="R68" i="2"/>
  <c r="P68" i="2"/>
  <c r="N68" i="2"/>
  <c r="L68" i="2"/>
  <c r="J68" i="2"/>
  <c r="AD67" i="2"/>
  <c r="AB67" i="2"/>
  <c r="Z67" i="2"/>
  <c r="X67" i="2"/>
  <c r="T67" i="2"/>
  <c r="AE66" i="2"/>
  <c r="AD62" i="2"/>
  <c r="AB62" i="2"/>
  <c r="Z62" i="2"/>
  <c r="X62" i="2"/>
  <c r="V62" i="2"/>
  <c r="T62" i="2"/>
  <c r="R62" i="2"/>
  <c r="P62" i="2"/>
  <c r="N62" i="2"/>
  <c r="L62" i="2"/>
  <c r="J62" i="2"/>
  <c r="AD61" i="2"/>
  <c r="AB61" i="2"/>
  <c r="Z61" i="2"/>
  <c r="X61" i="2"/>
  <c r="V61" i="2"/>
  <c r="P61" i="2"/>
  <c r="N61" i="2"/>
  <c r="L61" i="2"/>
  <c r="AD60" i="2"/>
  <c r="AB60" i="2"/>
  <c r="X60" i="2"/>
  <c r="V60" i="2"/>
  <c r="R60" i="2"/>
  <c r="P60" i="2"/>
  <c r="N60" i="2"/>
  <c r="L60" i="2"/>
  <c r="J60" i="2"/>
  <c r="AD59" i="2"/>
  <c r="AB59" i="2"/>
  <c r="Z59" i="2"/>
  <c r="X59" i="2"/>
  <c r="V59" i="2"/>
  <c r="T59" i="2"/>
  <c r="R59" i="2"/>
  <c r="P59" i="2"/>
  <c r="N59" i="2"/>
  <c r="L59" i="2"/>
  <c r="J59" i="2"/>
  <c r="AD58" i="2"/>
  <c r="AB58" i="2"/>
  <c r="Z58" i="2"/>
  <c r="X58" i="2"/>
  <c r="R58" i="2"/>
  <c r="P58" i="2"/>
  <c r="N58" i="2"/>
  <c r="L58" i="2"/>
  <c r="J58" i="2"/>
  <c r="AD57" i="2"/>
  <c r="Z57" i="2"/>
  <c r="Z63" i="2" s="1"/>
  <c r="AD56" i="2"/>
  <c r="AB56" i="2"/>
  <c r="Z56" i="2"/>
  <c r="X56" i="2"/>
  <c r="V56" i="2"/>
  <c r="T56" i="2"/>
  <c r="R56" i="2"/>
  <c r="P56" i="2"/>
  <c r="N56" i="2"/>
  <c r="L56" i="2"/>
  <c r="J56" i="2"/>
  <c r="AD55" i="2"/>
  <c r="AB55" i="2"/>
  <c r="Z55" i="2"/>
  <c r="X55" i="2"/>
  <c r="V55" i="2"/>
  <c r="T55" i="2"/>
  <c r="R55" i="2"/>
  <c r="P55" i="2"/>
  <c r="N55" i="2"/>
  <c r="L55" i="2"/>
  <c r="J55" i="2"/>
  <c r="AE54" i="2"/>
  <c r="Z60" i="2" s="1"/>
  <c r="J50" i="2"/>
  <c r="AE44" i="2"/>
  <c r="T50" i="2" s="1"/>
  <c r="X39" i="2"/>
  <c r="T39" i="2"/>
  <c r="R39" i="2"/>
  <c r="N39" i="2"/>
  <c r="L39" i="2"/>
  <c r="J39" i="2"/>
  <c r="AD38" i="2"/>
  <c r="AB38" i="2"/>
  <c r="Z38" i="2"/>
  <c r="X38" i="2"/>
  <c r="V38" i="2"/>
  <c r="T38" i="2"/>
  <c r="R38" i="2"/>
  <c r="P38" i="2"/>
  <c r="J38" i="2"/>
  <c r="AD37" i="2"/>
  <c r="X36" i="2"/>
  <c r="V36" i="2"/>
  <c r="T36" i="2"/>
  <c r="R36" i="2"/>
  <c r="P36" i="2"/>
  <c r="N36" i="2"/>
  <c r="J36" i="2"/>
  <c r="AD35" i="2"/>
  <c r="Z35" i="2"/>
  <c r="X35" i="2"/>
  <c r="V35" i="2"/>
  <c r="AE34" i="2"/>
  <c r="P30" i="2"/>
  <c r="N30" i="2"/>
  <c r="L30" i="2"/>
  <c r="AD29" i="2"/>
  <c r="AB29" i="2"/>
  <c r="X29" i="2"/>
  <c r="V29" i="2"/>
  <c r="N29" i="2"/>
  <c r="L29" i="2"/>
  <c r="J29" i="2"/>
  <c r="AD28" i="2"/>
  <c r="AB28" i="2"/>
  <c r="X28" i="2"/>
  <c r="V28" i="2"/>
  <c r="N28" i="2"/>
  <c r="L28" i="2"/>
  <c r="J28" i="2"/>
  <c r="AD27" i="2"/>
  <c r="AB27" i="2"/>
  <c r="Z27" i="2"/>
  <c r="AB26" i="2"/>
  <c r="J26" i="2"/>
  <c r="Z25" i="2"/>
  <c r="X25" i="2"/>
  <c r="P25" i="2"/>
  <c r="N25" i="2"/>
  <c r="L25" i="2"/>
  <c r="J25" i="2"/>
  <c r="AE24" i="2"/>
  <c r="AB20" i="2"/>
  <c r="X20" i="2"/>
  <c r="V20" i="2"/>
  <c r="V21" i="2" s="1"/>
  <c r="T20" i="2"/>
  <c r="R20" i="2"/>
  <c r="P20" i="2"/>
  <c r="N20" i="2"/>
  <c r="L20" i="2"/>
  <c r="AD19" i="2"/>
  <c r="AB19" i="2"/>
  <c r="X19" i="2"/>
  <c r="V19" i="2"/>
  <c r="T19" i="2"/>
  <c r="R19" i="2"/>
  <c r="P19" i="2"/>
  <c r="N19" i="2"/>
  <c r="L19" i="2"/>
  <c r="J19" i="2"/>
  <c r="AD18" i="2"/>
  <c r="AB18" i="2"/>
  <c r="Z18" i="2"/>
  <c r="X18" i="2"/>
  <c r="V18" i="2"/>
  <c r="T18" i="2"/>
  <c r="R18" i="2"/>
  <c r="P18" i="2"/>
  <c r="N18" i="2"/>
  <c r="L18" i="2"/>
  <c r="J18" i="2"/>
  <c r="V17" i="2"/>
  <c r="T17" i="2"/>
  <c r="R17" i="2"/>
  <c r="P17" i="2"/>
  <c r="N17" i="2"/>
  <c r="J17" i="2"/>
  <c r="AD16" i="2"/>
  <c r="Z16" i="2"/>
  <c r="X16" i="2"/>
  <c r="V16" i="2"/>
  <c r="T16" i="2"/>
  <c r="T21" i="2" s="1"/>
  <c r="R16" i="2"/>
  <c r="P16" i="2"/>
  <c r="N16" i="2"/>
  <c r="L16" i="2"/>
  <c r="J16" i="2"/>
  <c r="AD15" i="2"/>
  <c r="AB15" i="2"/>
  <c r="Z15" i="2"/>
  <c r="X15" i="2"/>
  <c r="V15" i="2"/>
  <c r="T15" i="2"/>
  <c r="R15" i="2"/>
  <c r="P15" i="2"/>
  <c r="N15" i="2"/>
  <c r="L15" i="2"/>
  <c r="J15" i="2"/>
  <c r="AE14" i="2"/>
  <c r="Z19" i="2" s="1"/>
  <c r="AD9" i="2"/>
  <c r="AB9" i="2"/>
  <c r="Z9" i="2"/>
  <c r="X9" i="2"/>
  <c r="V9" i="2"/>
  <c r="T9" i="2"/>
  <c r="R9" i="2"/>
  <c r="P9" i="2"/>
  <c r="N9" i="2"/>
  <c r="L9" i="2"/>
  <c r="J9" i="2"/>
  <c r="C8" i="2"/>
  <c r="AD100" i="2" s="1"/>
  <c r="C7" i="2"/>
  <c r="N57" i="2" s="1"/>
  <c r="AS123" i="1"/>
  <c r="AD114" i="1"/>
  <c r="AB114" i="1"/>
  <c r="Z114" i="1"/>
  <c r="X114" i="1"/>
  <c r="V114" i="1"/>
  <c r="T114" i="1"/>
  <c r="R114" i="1"/>
  <c r="P114" i="1"/>
  <c r="N114" i="1"/>
  <c r="L114" i="1"/>
  <c r="J114" i="1"/>
  <c r="AD113" i="1"/>
  <c r="AB113" i="1"/>
  <c r="Z113" i="1"/>
  <c r="X113" i="1"/>
  <c r="V113" i="1"/>
  <c r="R113" i="1"/>
  <c r="P113" i="1"/>
  <c r="N113" i="1"/>
  <c r="L113" i="1"/>
  <c r="J113" i="1"/>
  <c r="AR112" i="1"/>
  <c r="Z112" i="1"/>
  <c r="L112" i="1"/>
  <c r="J112" i="1"/>
  <c r="AD111" i="1"/>
  <c r="AB111" i="1"/>
  <c r="Z111" i="1"/>
  <c r="X111" i="1"/>
  <c r="V111" i="1"/>
  <c r="T111" i="1"/>
  <c r="R111" i="1"/>
  <c r="P111" i="1"/>
  <c r="N111" i="1"/>
  <c r="L111" i="1"/>
  <c r="J111" i="1"/>
  <c r="AD110" i="1"/>
  <c r="AB110" i="1"/>
  <c r="Z110" i="1"/>
  <c r="V110" i="1"/>
  <c r="T110" i="1"/>
  <c r="R110" i="1"/>
  <c r="P110" i="1"/>
  <c r="N110" i="1"/>
  <c r="L110" i="1"/>
  <c r="L115" i="1" s="1"/>
  <c r="J110" i="1"/>
  <c r="AB109" i="1"/>
  <c r="Z109" i="1"/>
  <c r="Z115" i="1" s="1"/>
  <c r="R109" i="1"/>
  <c r="P109" i="1"/>
  <c r="L109" i="1"/>
  <c r="AE108" i="1"/>
  <c r="N112" i="1" s="1"/>
  <c r="X101" i="1"/>
  <c r="V101" i="1"/>
  <c r="R101" i="1"/>
  <c r="AE96" i="1"/>
  <c r="AB99" i="1" s="1"/>
  <c r="P91" i="1"/>
  <c r="L91" i="1"/>
  <c r="J91" i="1"/>
  <c r="AD90" i="1"/>
  <c r="AB90" i="1"/>
  <c r="X90" i="1"/>
  <c r="T90" i="1"/>
  <c r="R90" i="1"/>
  <c r="N90" i="1"/>
  <c r="L90" i="1"/>
  <c r="J90" i="1"/>
  <c r="AD89" i="1"/>
  <c r="Z88" i="1"/>
  <c r="X88" i="1"/>
  <c r="V88" i="1"/>
  <c r="T88" i="1"/>
  <c r="R88" i="1"/>
  <c r="P88" i="1"/>
  <c r="N88" i="1"/>
  <c r="J88" i="1"/>
  <c r="AD87" i="1"/>
  <c r="Z87" i="1"/>
  <c r="AE86" i="1"/>
  <c r="AB91" i="1" s="1"/>
  <c r="P81" i="1"/>
  <c r="N81" i="1"/>
  <c r="L81" i="1"/>
  <c r="J81" i="1"/>
  <c r="AD80" i="1"/>
  <c r="AE76" i="1"/>
  <c r="L79" i="1" s="1"/>
  <c r="AD72" i="1"/>
  <c r="Z72" i="1"/>
  <c r="X72" i="1"/>
  <c r="V72" i="1"/>
  <c r="T72" i="1"/>
  <c r="R72" i="1"/>
  <c r="P72" i="1"/>
  <c r="N72" i="1"/>
  <c r="J72" i="1"/>
  <c r="AD71" i="1"/>
  <c r="Z71" i="1"/>
  <c r="V71" i="1"/>
  <c r="T71" i="1"/>
  <c r="R71" i="1"/>
  <c r="P71" i="1"/>
  <c r="N71" i="1"/>
  <c r="L71" i="1"/>
  <c r="J71" i="1"/>
  <c r="AD70" i="1"/>
  <c r="AB70" i="1"/>
  <c r="Z70" i="1"/>
  <c r="X70" i="1"/>
  <c r="T70" i="1"/>
  <c r="L70" i="1"/>
  <c r="J70" i="1"/>
  <c r="AB69" i="1"/>
  <c r="Z69" i="1"/>
  <c r="X69" i="1"/>
  <c r="V69" i="1"/>
  <c r="T69" i="1"/>
  <c r="R69" i="1"/>
  <c r="P69" i="1"/>
  <c r="L69" i="1"/>
  <c r="J69" i="1"/>
  <c r="AB68" i="1"/>
  <c r="X68" i="1"/>
  <c r="V68" i="1"/>
  <c r="T68" i="1"/>
  <c r="R68" i="1"/>
  <c r="P68" i="1"/>
  <c r="N68" i="1"/>
  <c r="L68" i="1"/>
  <c r="J68" i="1"/>
  <c r="AD67" i="1"/>
  <c r="AB67" i="1"/>
  <c r="Z67" i="1"/>
  <c r="X67" i="1"/>
  <c r="V67" i="1"/>
  <c r="T67" i="1"/>
  <c r="R67" i="1"/>
  <c r="N67" i="1"/>
  <c r="AE66" i="1"/>
  <c r="N70" i="1" s="1"/>
  <c r="P62" i="1"/>
  <c r="N62" i="1"/>
  <c r="L62" i="1"/>
  <c r="J62" i="1"/>
  <c r="AD61" i="1"/>
  <c r="AB61" i="1"/>
  <c r="Z61" i="1"/>
  <c r="X61" i="1"/>
  <c r="V61" i="1"/>
  <c r="AB59" i="1"/>
  <c r="Z59" i="1"/>
  <c r="X59" i="1"/>
  <c r="V59" i="1"/>
  <c r="T59" i="1"/>
  <c r="R59" i="1"/>
  <c r="P59" i="1"/>
  <c r="J59" i="1"/>
  <c r="L58" i="1"/>
  <c r="J58" i="1"/>
  <c r="AD57" i="1"/>
  <c r="AB57" i="1"/>
  <c r="Z56" i="1"/>
  <c r="X56" i="1"/>
  <c r="V56" i="1"/>
  <c r="T56" i="1"/>
  <c r="R56" i="1"/>
  <c r="X55" i="1"/>
  <c r="V55" i="1"/>
  <c r="T55" i="1"/>
  <c r="P55" i="1"/>
  <c r="N55" i="1"/>
  <c r="L55" i="1"/>
  <c r="J55" i="1"/>
  <c r="AE54" i="1"/>
  <c r="T50" i="1"/>
  <c r="R50" i="1"/>
  <c r="P50" i="1"/>
  <c r="N50" i="1"/>
  <c r="L50" i="1"/>
  <c r="J50" i="1"/>
  <c r="AD49" i="1"/>
  <c r="AB49" i="1"/>
  <c r="Z49" i="1"/>
  <c r="N49" i="1"/>
  <c r="L46" i="1"/>
  <c r="J46" i="1"/>
  <c r="AB45" i="1"/>
  <c r="Z45" i="1"/>
  <c r="V45" i="1"/>
  <c r="R45" i="1"/>
  <c r="P45" i="1"/>
  <c r="N45" i="1"/>
  <c r="AE44" i="1"/>
  <c r="AD40" i="1"/>
  <c r="Z40" i="1"/>
  <c r="X40" i="1"/>
  <c r="V40" i="1"/>
  <c r="T40" i="1"/>
  <c r="R40" i="1"/>
  <c r="P40" i="1"/>
  <c r="N40" i="1"/>
  <c r="J40" i="1"/>
  <c r="AD39" i="1"/>
  <c r="Z39" i="1"/>
  <c r="V39" i="1"/>
  <c r="T39" i="1"/>
  <c r="R39" i="1"/>
  <c r="P39" i="1"/>
  <c r="N39" i="1"/>
  <c r="L39" i="1"/>
  <c r="J39" i="1"/>
  <c r="AD38" i="1"/>
  <c r="AB38" i="1"/>
  <c r="Z38" i="1"/>
  <c r="X38" i="1"/>
  <c r="T38" i="1"/>
  <c r="L38" i="1"/>
  <c r="J38" i="1"/>
  <c r="AB37" i="1"/>
  <c r="Z37" i="1"/>
  <c r="X37" i="1"/>
  <c r="V37" i="1"/>
  <c r="T37" i="1"/>
  <c r="R37" i="1"/>
  <c r="P37" i="1"/>
  <c r="L37" i="1"/>
  <c r="J37" i="1"/>
  <c r="AB36" i="1"/>
  <c r="X36" i="1"/>
  <c r="V36" i="1"/>
  <c r="T36" i="1"/>
  <c r="R36" i="1"/>
  <c r="P36" i="1"/>
  <c r="N36" i="1"/>
  <c r="L36" i="1"/>
  <c r="J36" i="1"/>
  <c r="AD35" i="1"/>
  <c r="AB35" i="1"/>
  <c r="Z35" i="1"/>
  <c r="X35" i="1"/>
  <c r="V35" i="1"/>
  <c r="T35" i="1"/>
  <c r="R35" i="1"/>
  <c r="N35" i="1"/>
  <c r="L35" i="1"/>
  <c r="AE34" i="1"/>
  <c r="N38" i="1" s="1"/>
  <c r="AB30" i="1"/>
  <c r="Z30" i="1"/>
  <c r="X30" i="1"/>
  <c r="V30" i="1"/>
  <c r="AD29" i="1"/>
  <c r="AB29" i="1"/>
  <c r="Z29" i="1"/>
  <c r="X29" i="1"/>
  <c r="V29" i="1"/>
  <c r="T29" i="1"/>
  <c r="R29" i="1"/>
  <c r="P29" i="1"/>
  <c r="L29" i="1"/>
  <c r="L28" i="1"/>
  <c r="J28" i="1"/>
  <c r="AD27" i="1"/>
  <c r="AB27" i="1"/>
  <c r="Z27" i="1"/>
  <c r="X27" i="1"/>
  <c r="V27" i="1"/>
  <c r="T27" i="1"/>
  <c r="R27" i="1"/>
  <c r="P27" i="1"/>
  <c r="L27" i="1"/>
  <c r="J27" i="1"/>
  <c r="AD26" i="1"/>
  <c r="AB26" i="1"/>
  <c r="Z26" i="1"/>
  <c r="X26" i="1"/>
  <c r="V26" i="1"/>
  <c r="T26" i="1"/>
  <c r="AE24" i="1"/>
  <c r="AE14" i="1"/>
  <c r="AD16" i="1" s="1"/>
  <c r="AD9" i="1"/>
  <c r="AB9" i="1"/>
  <c r="Z9" i="1"/>
  <c r="X9" i="1"/>
  <c r="V9" i="1"/>
  <c r="T9" i="1"/>
  <c r="R9" i="1"/>
  <c r="P9" i="1"/>
  <c r="N9" i="1"/>
  <c r="L9" i="1"/>
  <c r="J9" i="1"/>
  <c r="C8" i="1"/>
  <c r="R100" i="1" s="1"/>
  <c r="C7" i="1"/>
  <c r="T92" i="1" s="1"/>
  <c r="Z41" i="2" l="1"/>
  <c r="V63" i="2"/>
  <c r="X41" i="2"/>
  <c r="Z31" i="2"/>
  <c r="R50" i="2"/>
  <c r="V18" i="1"/>
  <c r="P80" i="1"/>
  <c r="V100" i="1"/>
  <c r="P49" i="2"/>
  <c r="X18" i="1"/>
  <c r="AB48" i="1"/>
  <c r="AD45" i="1"/>
  <c r="V48" i="1"/>
  <c r="X45" i="1"/>
  <c r="R48" i="1"/>
  <c r="T45" i="1"/>
  <c r="V49" i="1"/>
  <c r="X46" i="1"/>
  <c r="J48" i="1"/>
  <c r="AD47" i="1"/>
  <c r="Z50" i="1"/>
  <c r="X50" i="1"/>
  <c r="AB47" i="1"/>
  <c r="Z47" i="1"/>
  <c r="AD50" i="1"/>
  <c r="X47" i="1"/>
  <c r="AB50" i="1"/>
  <c r="V47" i="1"/>
  <c r="V51" i="1" s="1"/>
  <c r="T47" i="1"/>
  <c r="R47" i="1"/>
  <c r="R51" i="1" s="1"/>
  <c r="X49" i="1"/>
  <c r="P46" i="1"/>
  <c r="P51" i="1" s="1"/>
  <c r="P49" i="1"/>
  <c r="T80" i="1"/>
  <c r="X100" i="1"/>
  <c r="R49" i="2"/>
  <c r="AD73" i="2"/>
  <c r="Z18" i="1"/>
  <c r="J45" i="1"/>
  <c r="R49" i="1"/>
  <c r="X80" i="1"/>
  <c r="J101" i="1"/>
  <c r="V49" i="2"/>
  <c r="AB18" i="1"/>
  <c r="L45" i="1"/>
  <c r="T49" i="1"/>
  <c r="Z80" i="1"/>
  <c r="P101" i="1"/>
  <c r="X49" i="2"/>
  <c r="Z101" i="1"/>
  <c r="N58" i="1"/>
  <c r="Z81" i="1"/>
  <c r="AD19" i="1"/>
  <c r="P15" i="1"/>
  <c r="J102" i="1"/>
  <c r="R58" i="1"/>
  <c r="V20" i="1"/>
  <c r="T58" i="1"/>
  <c r="T63" i="1" s="1"/>
  <c r="Z62" i="1"/>
  <c r="L77" i="1"/>
  <c r="P97" i="1"/>
  <c r="N46" i="1"/>
  <c r="N51" i="1" s="1"/>
  <c r="AB81" i="1"/>
  <c r="Z20" i="1"/>
  <c r="V50" i="1"/>
  <c r="P77" i="1"/>
  <c r="V97" i="1"/>
  <c r="V105" i="1" s="1"/>
  <c r="L103" i="1"/>
  <c r="J46" i="2"/>
  <c r="Z58" i="1"/>
  <c r="AD20" i="1"/>
  <c r="V46" i="1"/>
  <c r="AB58" i="1"/>
  <c r="V77" i="1"/>
  <c r="N82" i="1"/>
  <c r="L98" i="1"/>
  <c r="P103" i="1"/>
  <c r="R46" i="2"/>
  <c r="Z41" i="1"/>
  <c r="Z46" i="1"/>
  <c r="AD58" i="1"/>
  <c r="Z77" i="1"/>
  <c r="P82" i="1"/>
  <c r="V90" i="1"/>
  <c r="N98" i="1"/>
  <c r="R103" i="1"/>
  <c r="T46" i="2"/>
  <c r="Z19" i="1"/>
  <c r="AB16" i="1"/>
  <c r="T19" i="1"/>
  <c r="V16" i="1"/>
  <c r="X19" i="1"/>
  <c r="R16" i="1"/>
  <c r="V19" i="1"/>
  <c r="P16" i="1"/>
  <c r="J19" i="1"/>
  <c r="Z15" i="1"/>
  <c r="R19" i="1"/>
  <c r="N16" i="1"/>
  <c r="P19" i="1"/>
  <c r="L16" i="1"/>
  <c r="N19" i="1"/>
  <c r="J16" i="1"/>
  <c r="L19" i="1"/>
  <c r="AB15" i="1"/>
  <c r="AD18" i="1"/>
  <c r="AD15" i="1"/>
  <c r="AD17" i="1"/>
  <c r="J97" i="1"/>
  <c r="R20" i="1"/>
  <c r="V62" i="1"/>
  <c r="J77" i="1"/>
  <c r="V45" i="2"/>
  <c r="T16" i="1"/>
  <c r="T41" i="1"/>
  <c r="R46" i="1"/>
  <c r="X58" i="1"/>
  <c r="J82" i="1"/>
  <c r="X16" i="1"/>
  <c r="AB20" i="1"/>
  <c r="V41" i="1"/>
  <c r="T46" i="1"/>
  <c r="R77" i="1"/>
  <c r="L82" i="1"/>
  <c r="X97" i="1"/>
  <c r="N103" i="1"/>
  <c r="L46" i="2"/>
  <c r="Z16" i="1"/>
  <c r="J17" i="1"/>
  <c r="AB41" i="1"/>
  <c r="AB46" i="1"/>
  <c r="AB51" i="1" s="1"/>
  <c r="AB77" i="1"/>
  <c r="R82" i="1"/>
  <c r="R98" i="1"/>
  <c r="T103" i="1"/>
  <c r="V46" i="2"/>
  <c r="N93" i="2"/>
  <c r="L113" i="2"/>
  <c r="N110" i="2"/>
  <c r="J113" i="2"/>
  <c r="L110" i="2"/>
  <c r="AD112" i="2"/>
  <c r="AB112" i="2"/>
  <c r="AD109" i="2"/>
  <c r="Z112" i="2"/>
  <c r="AB109" i="2"/>
  <c r="X112" i="2"/>
  <c r="Z109" i="2"/>
  <c r="V112" i="2"/>
  <c r="R112" i="2"/>
  <c r="R115" i="2" s="1"/>
  <c r="AD113" i="2"/>
  <c r="AB113" i="2"/>
  <c r="AD110" i="2"/>
  <c r="Z113" i="2"/>
  <c r="AB110" i="2"/>
  <c r="X113" i="2"/>
  <c r="R113" i="2"/>
  <c r="T110" i="2"/>
  <c r="N112" i="2"/>
  <c r="L112" i="2"/>
  <c r="L115" i="2" s="1"/>
  <c r="J112" i="2"/>
  <c r="X111" i="2"/>
  <c r="V111" i="2"/>
  <c r="V115" i="2" s="1"/>
  <c r="X110" i="2"/>
  <c r="P110" i="2"/>
  <c r="AB114" i="2"/>
  <c r="J110" i="2"/>
  <c r="L17" i="1"/>
  <c r="AD46" i="1"/>
  <c r="T60" i="1"/>
  <c r="N60" i="1"/>
  <c r="J60" i="1"/>
  <c r="L57" i="1"/>
  <c r="R55" i="1"/>
  <c r="J61" i="1"/>
  <c r="Z57" i="1"/>
  <c r="AD60" i="1"/>
  <c r="X57" i="1"/>
  <c r="AB60" i="1"/>
  <c r="T57" i="1"/>
  <c r="J57" i="1"/>
  <c r="P60" i="1"/>
  <c r="Z60" i="1"/>
  <c r="R57" i="1"/>
  <c r="X60" i="1"/>
  <c r="N57" i="1"/>
  <c r="N63" i="1" s="1"/>
  <c r="V60" i="1"/>
  <c r="R60" i="1"/>
  <c r="AD56" i="1"/>
  <c r="AB56" i="1"/>
  <c r="L59" i="1"/>
  <c r="AB55" i="1"/>
  <c r="AB63" i="1" s="1"/>
  <c r="N59" i="1"/>
  <c r="J78" i="1"/>
  <c r="T82" i="1"/>
  <c r="Z90" i="1"/>
  <c r="T98" i="1"/>
  <c r="V103" i="1"/>
  <c r="Z28" i="2"/>
  <c r="AB25" i="2"/>
  <c r="T28" i="2"/>
  <c r="V25" i="2"/>
  <c r="R28" i="2"/>
  <c r="T25" i="2"/>
  <c r="P28" i="2"/>
  <c r="R25" i="2"/>
  <c r="T29" i="2"/>
  <c r="V26" i="2"/>
  <c r="R29" i="2"/>
  <c r="R30" i="2"/>
  <c r="V30" i="2"/>
  <c r="L27" i="2"/>
  <c r="T30" i="2"/>
  <c r="J27" i="2"/>
  <c r="J31" i="2" s="1"/>
  <c r="AD26" i="2"/>
  <c r="Z29" i="2"/>
  <c r="N26" i="2"/>
  <c r="N31" i="2" s="1"/>
  <c r="P29" i="2"/>
  <c r="AD25" i="2"/>
  <c r="AD31" i="2" s="1"/>
  <c r="J30" i="2"/>
  <c r="X46" i="2"/>
  <c r="N63" i="2"/>
  <c r="J109" i="2"/>
  <c r="V16" i="3"/>
  <c r="W16" i="3" s="1"/>
  <c r="P50" i="2"/>
  <c r="AB101" i="1"/>
  <c r="L97" i="1"/>
  <c r="T81" i="1"/>
  <c r="J103" i="1"/>
  <c r="L78" i="1"/>
  <c r="X98" i="1"/>
  <c r="Z98" i="1"/>
  <c r="X99" i="1"/>
  <c r="R21" i="2"/>
  <c r="L49" i="2"/>
  <c r="N46" i="2"/>
  <c r="AB48" i="2"/>
  <c r="AD45" i="2"/>
  <c r="Z48" i="2"/>
  <c r="AB45" i="2"/>
  <c r="X48" i="2"/>
  <c r="Z45" i="2"/>
  <c r="AB49" i="2"/>
  <c r="AD46" i="2"/>
  <c r="Z49" i="2"/>
  <c r="AB46" i="2"/>
  <c r="N47" i="2"/>
  <c r="Z50" i="2"/>
  <c r="P47" i="2"/>
  <c r="X50" i="2"/>
  <c r="L47" i="2"/>
  <c r="AD49" i="2"/>
  <c r="P46" i="2"/>
  <c r="T49" i="2"/>
  <c r="X45" i="2"/>
  <c r="X51" i="2" s="1"/>
  <c r="L15" i="1"/>
  <c r="N50" i="2"/>
  <c r="L20" i="1"/>
  <c r="R15" i="1"/>
  <c r="P45" i="2"/>
  <c r="R45" i="2"/>
  <c r="V50" i="2"/>
  <c r="R97" i="1"/>
  <c r="Z46" i="2"/>
  <c r="J47" i="2"/>
  <c r="R17" i="1"/>
  <c r="T73" i="1"/>
  <c r="AD47" i="2"/>
  <c r="P115" i="2"/>
  <c r="X17" i="1"/>
  <c r="X73" i="1"/>
  <c r="Z78" i="1"/>
  <c r="P21" i="2"/>
  <c r="Z17" i="1"/>
  <c r="N48" i="1"/>
  <c r="N48" i="2"/>
  <c r="AD99" i="1"/>
  <c r="T28" i="1"/>
  <c r="V25" i="1"/>
  <c r="V31" i="1" s="1"/>
  <c r="N28" i="1"/>
  <c r="P25" i="1"/>
  <c r="AD30" i="1"/>
  <c r="N29" i="1"/>
  <c r="P26" i="1"/>
  <c r="J29" i="1"/>
  <c r="AB25" i="1"/>
  <c r="AB31" i="1" s="1"/>
  <c r="AD28" i="1"/>
  <c r="Z25" i="1"/>
  <c r="Z31" i="1" s="1"/>
  <c r="R28" i="1"/>
  <c r="J25" i="1"/>
  <c r="AB28" i="1"/>
  <c r="X25" i="1"/>
  <c r="Z28" i="1"/>
  <c r="T25" i="1"/>
  <c r="X28" i="1"/>
  <c r="R25" i="1"/>
  <c r="V28" i="1"/>
  <c r="N25" i="1"/>
  <c r="L25" i="1"/>
  <c r="P28" i="1"/>
  <c r="R30" i="1"/>
  <c r="N27" i="1"/>
  <c r="L87" i="1"/>
  <c r="J100" i="1"/>
  <c r="AD63" i="2"/>
  <c r="L18" i="1"/>
  <c r="AD25" i="1"/>
  <c r="J30" i="1"/>
  <c r="X48" i="1"/>
  <c r="AD55" i="1"/>
  <c r="L60" i="1"/>
  <c r="N87" i="1"/>
  <c r="Z91" i="1"/>
  <c r="L100" i="1"/>
  <c r="P26" i="2"/>
  <c r="P31" i="2" s="1"/>
  <c r="AD39" i="2"/>
  <c r="N38" i="2"/>
  <c r="P35" i="2"/>
  <c r="P41" i="2" s="1"/>
  <c r="L38" i="2"/>
  <c r="N35" i="2"/>
  <c r="N41" i="2" s="1"/>
  <c r="V40" i="2"/>
  <c r="AB36" i="2"/>
  <c r="Z40" i="2"/>
  <c r="AD36" i="2"/>
  <c r="X40" i="2"/>
  <c r="Z36" i="2"/>
  <c r="V39" i="2"/>
  <c r="L36" i="2"/>
  <c r="P39" i="2"/>
  <c r="AB35" i="2"/>
  <c r="Z39" i="2"/>
  <c r="T48" i="2"/>
  <c r="V110" i="2"/>
  <c r="L45" i="2"/>
  <c r="AB80" i="1"/>
  <c r="AD77" i="1"/>
  <c r="V80" i="1"/>
  <c r="X77" i="1"/>
  <c r="R80" i="1"/>
  <c r="T77" i="1"/>
  <c r="V81" i="1"/>
  <c r="X78" i="1"/>
  <c r="J80" i="1"/>
  <c r="AD79" i="1"/>
  <c r="Z82" i="1"/>
  <c r="AB79" i="1"/>
  <c r="Z79" i="1"/>
  <c r="AD82" i="1"/>
  <c r="X79" i="1"/>
  <c r="AB82" i="1"/>
  <c r="V79" i="1"/>
  <c r="T79" i="1"/>
  <c r="X82" i="1"/>
  <c r="R79" i="1"/>
  <c r="AD81" i="1"/>
  <c r="V78" i="1"/>
  <c r="X81" i="1"/>
  <c r="P78" i="1"/>
  <c r="N102" i="1"/>
  <c r="T45" i="2"/>
  <c r="X20" i="1"/>
  <c r="V58" i="1"/>
  <c r="N17" i="1"/>
  <c r="V82" i="1"/>
  <c r="R104" i="1"/>
  <c r="AD78" i="1"/>
  <c r="J87" i="1"/>
  <c r="X104" i="1"/>
  <c r="X109" i="2"/>
  <c r="T48" i="1"/>
  <c r="Z104" i="1"/>
  <c r="J56" i="1"/>
  <c r="J63" i="1" s="1"/>
  <c r="L61" i="1"/>
  <c r="N79" i="1"/>
  <c r="P87" i="1"/>
  <c r="P93" i="1" s="1"/>
  <c r="N100" i="1"/>
  <c r="R26" i="2"/>
  <c r="J35" i="2"/>
  <c r="J41" i="2" s="1"/>
  <c r="AB39" i="2"/>
  <c r="V48" i="2"/>
  <c r="Z110" i="2"/>
  <c r="AB19" i="1"/>
  <c r="J15" i="1"/>
  <c r="J21" i="1" s="1"/>
  <c r="N20" i="1"/>
  <c r="L102" i="1"/>
  <c r="V15" i="1"/>
  <c r="X15" i="1"/>
  <c r="N77" i="1"/>
  <c r="J47" i="1"/>
  <c r="R78" i="1"/>
  <c r="Z99" i="1"/>
  <c r="L92" i="1"/>
  <c r="N89" i="1"/>
  <c r="J92" i="1"/>
  <c r="L89" i="1"/>
  <c r="P90" i="1"/>
  <c r="R87" i="1"/>
  <c r="AB89" i="1"/>
  <c r="Z89" i="1"/>
  <c r="AB88" i="1"/>
  <c r="X89" i="1"/>
  <c r="AD92" i="1"/>
  <c r="T89" i="1"/>
  <c r="Z92" i="1"/>
  <c r="AB92" i="1"/>
  <c r="R89" i="1"/>
  <c r="J89" i="1"/>
  <c r="X92" i="1"/>
  <c r="AD88" i="1"/>
  <c r="AD93" i="1" s="1"/>
  <c r="V92" i="1"/>
  <c r="T91" i="1"/>
  <c r="L88" i="1"/>
  <c r="N91" i="1"/>
  <c r="AB87" i="1"/>
  <c r="P48" i="2"/>
  <c r="Z55" i="1"/>
  <c r="R110" i="2"/>
  <c r="N18" i="1"/>
  <c r="L30" i="1"/>
  <c r="N30" i="1"/>
  <c r="AD48" i="1"/>
  <c r="L56" i="1"/>
  <c r="L63" i="1" s="1"/>
  <c r="P61" i="1"/>
  <c r="N73" i="1"/>
  <c r="P79" i="1"/>
  <c r="T87" i="1"/>
  <c r="AD91" i="1"/>
  <c r="P100" i="1"/>
  <c r="T26" i="2"/>
  <c r="L35" i="2"/>
  <c r="N40" i="2"/>
  <c r="AD48" i="2"/>
  <c r="J111" i="2"/>
  <c r="N97" i="1"/>
  <c r="AB62" i="1"/>
  <c r="V98" i="1"/>
  <c r="T17" i="1"/>
  <c r="P47" i="1"/>
  <c r="V73" i="1"/>
  <c r="T78" i="1"/>
  <c r="P104" i="1"/>
  <c r="T115" i="2"/>
  <c r="AB78" i="1"/>
  <c r="R91" i="1"/>
  <c r="P48" i="1"/>
  <c r="V91" i="1"/>
  <c r="X91" i="1"/>
  <c r="X26" i="2"/>
  <c r="R35" i="2"/>
  <c r="P40" i="2"/>
  <c r="J49" i="2"/>
  <c r="L111" i="2"/>
  <c r="L50" i="2"/>
  <c r="J20" i="1"/>
  <c r="J45" i="2"/>
  <c r="N15" i="1"/>
  <c r="N101" i="1"/>
  <c r="P98" i="1"/>
  <c r="J98" i="1"/>
  <c r="Z103" i="1"/>
  <c r="AD97" i="1"/>
  <c r="X103" i="1"/>
  <c r="AB97" i="1"/>
  <c r="AD101" i="1"/>
  <c r="AD102" i="1"/>
  <c r="V99" i="1"/>
  <c r="AB102" i="1"/>
  <c r="T99" i="1"/>
  <c r="Z102" i="1"/>
  <c r="R99" i="1"/>
  <c r="X102" i="1"/>
  <c r="P99" i="1"/>
  <c r="V102" i="1"/>
  <c r="N99" i="1"/>
  <c r="T102" i="1"/>
  <c r="L99" i="1"/>
  <c r="R102" i="1"/>
  <c r="AD98" i="1"/>
  <c r="P102" i="1"/>
  <c r="AB98" i="1"/>
  <c r="T101" i="1"/>
  <c r="Z97" i="1"/>
  <c r="L101" i="1"/>
  <c r="T97" i="1"/>
  <c r="L104" i="1"/>
  <c r="AD100" i="1"/>
  <c r="AB100" i="1"/>
  <c r="Z100" i="1"/>
  <c r="AD62" i="1"/>
  <c r="AB104" i="1"/>
  <c r="P58" i="1"/>
  <c r="AD104" i="1"/>
  <c r="X62" i="1"/>
  <c r="V104" i="1"/>
  <c r="R62" i="1"/>
  <c r="N45" i="2"/>
  <c r="P20" i="1"/>
  <c r="T62" i="1"/>
  <c r="R81" i="1"/>
  <c r="T15" i="1"/>
  <c r="T21" i="1" s="1"/>
  <c r="R41" i="1"/>
  <c r="AD103" i="1"/>
  <c r="P17" i="1"/>
  <c r="L47" i="1"/>
  <c r="N78" i="1"/>
  <c r="J104" i="1"/>
  <c r="J21" i="2"/>
  <c r="N47" i="1"/>
  <c r="N104" i="1"/>
  <c r="L21" i="2"/>
  <c r="N21" i="2"/>
  <c r="J48" i="2"/>
  <c r="L48" i="1"/>
  <c r="L48" i="2"/>
  <c r="T104" i="1"/>
  <c r="AB17" i="1"/>
  <c r="X63" i="1"/>
  <c r="J18" i="1"/>
  <c r="AD59" i="1"/>
  <c r="J79" i="1"/>
  <c r="L26" i="2"/>
  <c r="L31" i="2" s="1"/>
  <c r="R48" i="2"/>
  <c r="J26" i="1"/>
  <c r="Z48" i="1"/>
  <c r="Z51" i="1" s="1"/>
  <c r="P18" i="1"/>
  <c r="L26" i="1"/>
  <c r="R18" i="1"/>
  <c r="N26" i="1"/>
  <c r="P30" i="1"/>
  <c r="J49" i="1"/>
  <c r="N56" i="1"/>
  <c r="R61" i="1"/>
  <c r="L80" i="1"/>
  <c r="V87" i="1"/>
  <c r="P92" i="1"/>
  <c r="T18" i="1"/>
  <c r="R26" i="1"/>
  <c r="T30" i="1"/>
  <c r="L49" i="1"/>
  <c r="P56" i="1"/>
  <c r="P63" i="1" s="1"/>
  <c r="T61" i="1"/>
  <c r="N80" i="1"/>
  <c r="X87" i="1"/>
  <c r="R92" i="1"/>
  <c r="T100" i="1"/>
  <c r="Z26" i="2"/>
  <c r="T35" i="2"/>
  <c r="T40" i="2"/>
  <c r="N49" i="2"/>
  <c r="Z73" i="2"/>
  <c r="N111" i="2"/>
  <c r="N115" i="2" s="1"/>
  <c r="X99" i="2"/>
  <c r="P103" i="2"/>
  <c r="AD99" i="2"/>
  <c r="AD105" i="2" s="1"/>
  <c r="T101" i="2"/>
  <c r="V98" i="2"/>
  <c r="R101" i="2"/>
  <c r="T98" i="2"/>
  <c r="N101" i="2"/>
  <c r="P98" i="2"/>
  <c r="L101" i="2"/>
  <c r="N98" i="2"/>
  <c r="J101" i="2"/>
  <c r="L98" i="2"/>
  <c r="N102" i="2"/>
  <c r="L102" i="2"/>
  <c r="Z101" i="2"/>
  <c r="AB98" i="2"/>
  <c r="AB105" i="2" s="1"/>
  <c r="Z104" i="2"/>
  <c r="J97" i="2"/>
  <c r="J105" i="2" s="1"/>
  <c r="X100" i="2"/>
  <c r="AB104" i="2"/>
  <c r="L97" i="2"/>
  <c r="X17" i="2"/>
  <c r="X21" i="2" s="1"/>
  <c r="N27" i="2"/>
  <c r="P37" i="2"/>
  <c r="R47" i="2"/>
  <c r="AB50" i="2"/>
  <c r="R72" i="2"/>
  <c r="L72" i="2"/>
  <c r="J72" i="2"/>
  <c r="AD71" i="2"/>
  <c r="N70" i="2"/>
  <c r="P67" i="2"/>
  <c r="P73" i="2" s="1"/>
  <c r="L70" i="2"/>
  <c r="N67" i="2"/>
  <c r="N73" i="2" s="1"/>
  <c r="L81" i="2"/>
  <c r="N78" i="2"/>
  <c r="J81" i="2"/>
  <c r="L78" i="2"/>
  <c r="AB80" i="2"/>
  <c r="AD77" i="2"/>
  <c r="Z80" i="2"/>
  <c r="AB77" i="2"/>
  <c r="X80" i="2"/>
  <c r="X83" i="2" s="1"/>
  <c r="Z77" i="2"/>
  <c r="AB81" i="2"/>
  <c r="AD78" i="2"/>
  <c r="Z81" i="2"/>
  <c r="AB78" i="2"/>
  <c r="T80" i="2"/>
  <c r="T83" i="2" s="1"/>
  <c r="N97" i="2"/>
  <c r="N105" i="2" s="1"/>
  <c r="AB100" i="2"/>
  <c r="Z17" i="2"/>
  <c r="P27" i="2"/>
  <c r="Z30" i="2"/>
  <c r="R37" i="2"/>
  <c r="AD40" i="2"/>
  <c r="T47" i="2"/>
  <c r="AD50" i="2"/>
  <c r="J57" i="2"/>
  <c r="J67" i="2"/>
  <c r="X70" i="2"/>
  <c r="X73" i="2" s="1"/>
  <c r="J77" i="2"/>
  <c r="J83" i="2" s="1"/>
  <c r="V80" i="2"/>
  <c r="V83" i="2" s="1"/>
  <c r="R93" i="2"/>
  <c r="P97" i="2"/>
  <c r="P105" i="2" s="1"/>
  <c r="AB111" i="2"/>
  <c r="AD20" i="2"/>
  <c r="AB40" i="2"/>
  <c r="Z111" i="2"/>
  <c r="AB39" i="1"/>
  <c r="AD36" i="1"/>
  <c r="AD41" i="1" s="1"/>
  <c r="X39" i="1"/>
  <c r="X41" i="1" s="1"/>
  <c r="Z36" i="1"/>
  <c r="J35" i="1"/>
  <c r="J41" i="1" s="1"/>
  <c r="P38" i="1"/>
  <c r="L72" i="1"/>
  <c r="AB71" i="1"/>
  <c r="AB73" i="1" s="1"/>
  <c r="AD68" i="1"/>
  <c r="AD73" i="1" s="1"/>
  <c r="X71" i="1"/>
  <c r="Z68" i="1"/>
  <c r="Z73" i="1" s="1"/>
  <c r="AB72" i="1"/>
  <c r="J67" i="1"/>
  <c r="J73" i="1" s="1"/>
  <c r="P70" i="1"/>
  <c r="AB112" i="1"/>
  <c r="AB115" i="1" s="1"/>
  <c r="AD109" i="1"/>
  <c r="V112" i="1"/>
  <c r="X109" i="1"/>
  <c r="T112" i="1"/>
  <c r="V109" i="1"/>
  <c r="V115" i="1" s="1"/>
  <c r="R112" i="1"/>
  <c r="R115" i="1" s="1"/>
  <c r="T109" i="1"/>
  <c r="T113" i="1"/>
  <c r="X110" i="1"/>
  <c r="P112" i="1"/>
  <c r="P115" i="1" s="1"/>
  <c r="AD17" i="2"/>
  <c r="AD21" i="2" s="1"/>
  <c r="R27" i="2"/>
  <c r="AB30" i="2"/>
  <c r="V37" i="2"/>
  <c r="V41" i="2" s="1"/>
  <c r="V47" i="2"/>
  <c r="L57" i="2"/>
  <c r="L63" i="2" s="1"/>
  <c r="L67" i="2"/>
  <c r="Z70" i="2"/>
  <c r="L77" i="2"/>
  <c r="AD80" i="2"/>
  <c r="R97" i="2"/>
  <c r="P101" i="2"/>
  <c r="AD111" i="2"/>
  <c r="AD104" i="2"/>
  <c r="X30" i="2"/>
  <c r="R38" i="1"/>
  <c r="L67" i="1"/>
  <c r="L73" i="1" s="1"/>
  <c r="R70" i="1"/>
  <c r="R73" i="1" s="1"/>
  <c r="J109" i="1"/>
  <c r="J115" i="1" s="1"/>
  <c r="X112" i="1"/>
  <c r="T27" i="2"/>
  <c r="AD30" i="2"/>
  <c r="X37" i="2"/>
  <c r="X47" i="2"/>
  <c r="R67" i="2"/>
  <c r="AB70" i="2"/>
  <c r="AB73" i="2" s="1"/>
  <c r="N77" i="2"/>
  <c r="N81" i="2"/>
  <c r="T97" i="2"/>
  <c r="V101" i="2"/>
  <c r="J93" i="2"/>
  <c r="V100" i="2"/>
  <c r="Z100" i="2"/>
  <c r="Z105" i="2" s="1"/>
  <c r="Z92" i="2"/>
  <c r="AB89" i="2"/>
  <c r="AB93" i="2" s="1"/>
  <c r="T69" i="2"/>
  <c r="T73" i="2" s="1"/>
  <c r="AB57" i="2"/>
  <c r="AB63" i="2" s="1"/>
  <c r="R40" i="2"/>
  <c r="T37" i="2"/>
  <c r="J20" i="2"/>
  <c r="L17" i="2"/>
  <c r="X92" i="2"/>
  <c r="X93" i="2" s="1"/>
  <c r="Z89" i="2"/>
  <c r="T92" i="2"/>
  <c r="V89" i="2"/>
  <c r="V93" i="2" s="1"/>
  <c r="N69" i="2"/>
  <c r="V57" i="2"/>
  <c r="L40" i="2"/>
  <c r="N37" i="2"/>
  <c r="R92" i="2"/>
  <c r="T89" i="2"/>
  <c r="T93" i="2" s="1"/>
  <c r="L69" i="2"/>
  <c r="T57" i="2"/>
  <c r="J40" i="2"/>
  <c r="L37" i="2"/>
  <c r="AD103" i="2"/>
  <c r="P92" i="2"/>
  <c r="P93" i="2" s="1"/>
  <c r="R89" i="2"/>
  <c r="J69" i="2"/>
  <c r="R57" i="2"/>
  <c r="R63" i="2" s="1"/>
  <c r="J37" i="2"/>
  <c r="AD114" i="2"/>
  <c r="Z114" i="2"/>
  <c r="T114" i="2"/>
  <c r="N114" i="2"/>
  <c r="P99" i="2"/>
  <c r="T61" i="2"/>
  <c r="T63" i="2" s="1"/>
  <c r="Z20" i="2"/>
  <c r="AB17" i="2"/>
  <c r="N99" i="2"/>
  <c r="R61" i="2"/>
  <c r="V27" i="2"/>
  <c r="Z37" i="2"/>
  <c r="Z47" i="2"/>
  <c r="P57" i="2"/>
  <c r="P63" i="2" s="1"/>
  <c r="V97" i="2"/>
  <c r="X101" i="2"/>
  <c r="P35" i="1"/>
  <c r="P41" i="1" s="1"/>
  <c r="V38" i="1"/>
  <c r="P67" i="1"/>
  <c r="V70" i="1"/>
  <c r="N109" i="1"/>
  <c r="N115" i="1" s="1"/>
  <c r="AD112" i="1"/>
  <c r="R104" i="2"/>
  <c r="P104" i="2"/>
  <c r="L104" i="2"/>
  <c r="J104" i="2"/>
  <c r="V58" i="2"/>
  <c r="T58" i="2"/>
  <c r="X104" i="2"/>
  <c r="X27" i="2"/>
  <c r="X31" i="2" s="1"/>
  <c r="AB37" i="2"/>
  <c r="AB47" i="2"/>
  <c r="X57" i="2"/>
  <c r="X63" i="2" s="1"/>
  <c r="J61" i="2"/>
  <c r="V67" i="2"/>
  <c r="V73" i="2" s="1"/>
  <c r="J71" i="2"/>
  <c r="R77" i="2"/>
  <c r="R81" i="2"/>
  <c r="X97" i="2"/>
  <c r="X105" i="2" s="1"/>
  <c r="AB101" i="2"/>
  <c r="V17" i="1"/>
  <c r="T20" i="1"/>
  <c r="AD37" i="1"/>
  <c r="AB40" i="1"/>
  <c r="N61" i="1"/>
  <c r="AD69" i="1"/>
  <c r="J99" i="1"/>
  <c r="P57" i="1"/>
  <c r="P89" i="1"/>
  <c r="N92" i="1"/>
  <c r="AB103" i="1"/>
  <c r="AB16" i="2"/>
  <c r="T60" i="2"/>
  <c r="N37" i="1"/>
  <c r="N41" i="1" s="1"/>
  <c r="L40" i="1"/>
  <c r="L41" i="1" s="1"/>
  <c r="V57" i="1"/>
  <c r="V63" i="1" s="1"/>
  <c r="N69" i="1"/>
  <c r="V89" i="1"/>
  <c r="X115" i="2" l="1"/>
  <c r="X8" i="2" s="1"/>
  <c r="X10" i="2" s="1"/>
  <c r="P21" i="1"/>
  <c r="AD115" i="1"/>
  <c r="L105" i="2"/>
  <c r="N21" i="1"/>
  <c r="X83" i="1"/>
  <c r="Z115" i="2"/>
  <c r="P83" i="1"/>
  <c r="X115" i="1"/>
  <c r="X93" i="1"/>
  <c r="T83" i="1"/>
  <c r="T8" i="1" s="1"/>
  <c r="T10" i="1" s="1"/>
  <c r="L41" i="2"/>
  <c r="Z93" i="1"/>
  <c r="AD31" i="1"/>
  <c r="Z21" i="2"/>
  <c r="J51" i="2"/>
  <c r="J8" i="2" s="1"/>
  <c r="J10" i="2" s="1"/>
  <c r="R93" i="1"/>
  <c r="Z51" i="2"/>
  <c r="X105" i="1"/>
  <c r="J73" i="2"/>
  <c r="L105" i="1"/>
  <c r="J8" i="1"/>
  <c r="J10" i="1" s="1"/>
  <c r="N51" i="2"/>
  <c r="N8" i="2" s="1"/>
  <c r="N10" i="2" s="1"/>
  <c r="AB105" i="1"/>
  <c r="R83" i="1"/>
  <c r="N93" i="1"/>
  <c r="AB115" i="2"/>
  <c r="V93" i="1"/>
  <c r="L31" i="1"/>
  <c r="J105" i="1"/>
  <c r="T51" i="1"/>
  <c r="Z21" i="1"/>
  <c r="N83" i="2"/>
  <c r="V51" i="2"/>
  <c r="T51" i="2"/>
  <c r="R31" i="1"/>
  <c r="V31" i="2"/>
  <c r="V83" i="1"/>
  <c r="L51" i="1"/>
  <c r="T105" i="2"/>
  <c r="P31" i="1"/>
  <c r="R73" i="2"/>
  <c r="AB21" i="2"/>
  <c r="AB21" i="1"/>
  <c r="AD51" i="1"/>
  <c r="T115" i="1"/>
  <c r="J93" i="1"/>
  <c r="Z83" i="1"/>
  <c r="T105" i="1"/>
  <c r="R63" i="1"/>
  <c r="AD21" i="1"/>
  <c r="X51" i="1"/>
  <c r="V105" i="2"/>
  <c r="R105" i="1"/>
  <c r="AB31" i="2"/>
  <c r="Z63" i="1"/>
  <c r="X21" i="1"/>
  <c r="X8" i="1" s="1"/>
  <c r="X10" i="1" s="1"/>
  <c r="T41" i="2"/>
  <c r="AD83" i="1"/>
  <c r="AB51" i="2"/>
  <c r="J83" i="1"/>
  <c r="AD51" i="2"/>
  <c r="P73" i="1"/>
  <c r="R41" i="2"/>
  <c r="Z93" i="2"/>
  <c r="R105" i="2"/>
  <c r="AB83" i="2"/>
  <c r="T31" i="1"/>
  <c r="V21" i="1"/>
  <c r="V8" i="1" s="1"/>
  <c r="V10" i="1" s="1"/>
  <c r="AD41" i="2"/>
  <c r="AD8" i="2" s="1"/>
  <c r="AD10" i="2" s="1"/>
  <c r="X31" i="1"/>
  <c r="R51" i="2"/>
  <c r="L21" i="1"/>
  <c r="R83" i="2"/>
  <c r="L83" i="1"/>
  <c r="J63" i="2"/>
  <c r="T93" i="1"/>
  <c r="L93" i="1"/>
  <c r="L51" i="2"/>
  <c r="L8" i="2" s="1"/>
  <c r="L10" i="2" s="1"/>
  <c r="AD115" i="2"/>
  <c r="Z105" i="1"/>
  <c r="R31" i="2"/>
  <c r="N31" i="1"/>
  <c r="T31" i="2"/>
  <c r="R8" i="2"/>
  <c r="R10" i="2" s="1"/>
  <c r="P51" i="2"/>
  <c r="P8" i="2" s="1"/>
  <c r="P10" i="2" s="1"/>
  <c r="J115" i="2"/>
  <c r="P105" i="1"/>
  <c r="N105" i="1"/>
  <c r="AD105" i="1"/>
  <c r="AD63" i="1"/>
  <c r="AB41" i="2"/>
  <c r="Z83" i="2"/>
  <c r="N83" i="1"/>
  <c r="AD83" i="2"/>
  <c r="L83" i="2"/>
  <c r="L73" i="2"/>
  <c r="AB93" i="1"/>
  <c r="J31" i="1"/>
  <c r="R21" i="1"/>
  <c r="AB83" i="1"/>
  <c r="J51" i="1"/>
  <c r="R8" i="1" l="1"/>
  <c r="R10" i="1" s="1"/>
  <c r="AD8" i="1"/>
  <c r="AD10" i="1" s="1"/>
  <c r="V8" i="2"/>
  <c r="V10" i="2" s="1"/>
  <c r="Z8" i="2"/>
  <c r="Z10" i="2" s="1"/>
  <c r="AB8" i="2"/>
  <c r="AB10" i="2" s="1"/>
  <c r="L8" i="1"/>
  <c r="L10" i="1" s="1"/>
  <c r="Z8" i="1"/>
  <c r="Z10" i="1" s="1"/>
  <c r="T8" i="2"/>
  <c r="T10" i="2" s="1"/>
  <c r="N8" i="1"/>
  <c r="N10" i="1" s="1"/>
  <c r="AB8" i="1"/>
  <c r="AB10" i="1" s="1"/>
  <c r="P8" i="1"/>
  <c r="P10" i="1" s="1"/>
</calcChain>
</file>

<file path=xl/sharedStrings.xml><?xml version="1.0" encoding="utf-8"?>
<sst xmlns="http://schemas.openxmlformats.org/spreadsheetml/2006/main" count="804" uniqueCount="139">
  <si>
    <t>Windmill Poker - Standings</t>
  </si>
  <si>
    <t xml:space="preserve">Gelddverteilung </t>
  </si>
  <si>
    <t>ST1 (16.01.) - 6 Spieler</t>
  </si>
  <si>
    <t>Spieleranzahl</t>
  </si>
  <si>
    <t>Geteilter 1. Platz (2 Spieler)</t>
  </si>
  <si>
    <t>3. Platz</t>
  </si>
  <si>
    <t>Geteilter 3. Platz (2 Spieler)</t>
  </si>
  <si>
    <t>4.Platz</t>
  </si>
  <si>
    <t>Geteilter 4. Platz (2 Spieler)</t>
  </si>
  <si>
    <t>5.Platz</t>
  </si>
  <si>
    <t>Spieler</t>
  </si>
  <si>
    <t>Betrag (€)</t>
  </si>
  <si>
    <t>Platzierung</t>
  </si>
  <si>
    <t>Score</t>
  </si>
  <si>
    <t>Peter</t>
  </si>
  <si>
    <t>R1: 3.Pl., R2: Get.1.</t>
  </si>
  <si>
    <t>Werner</t>
  </si>
  <si>
    <t>R1: Get.1.</t>
  </si>
  <si>
    <t>1. und 2. Platz</t>
  </si>
  <si>
    <t>Punkte je TN*R</t>
  </si>
  <si>
    <t>Rainer</t>
  </si>
  <si>
    <t>R2: Get.1.</t>
  </si>
  <si>
    <t>Frank</t>
  </si>
  <si>
    <t>4. Platz</t>
  </si>
  <si>
    <t>bei 8 Spielern</t>
  </si>
  <si>
    <t>Friedl</t>
  </si>
  <si>
    <t>Torben</t>
  </si>
  <si>
    <t>Jens</t>
  </si>
  <si>
    <t>Jörg</t>
  </si>
  <si>
    <t>Jochen</t>
  </si>
  <si>
    <t>Martin</t>
  </si>
  <si>
    <t>Ciano</t>
  </si>
  <si>
    <t>R2: 3.Pl.</t>
  </si>
  <si>
    <t>bei 10 Spielern</t>
  </si>
  <si>
    <t>Score gesamt</t>
  </si>
  <si>
    <t>SUMME</t>
  </si>
  <si>
    <t>Topf: 240€</t>
  </si>
  <si>
    <t>Summe Teilnahmen</t>
  </si>
  <si>
    <t>Score je Teilnahme</t>
  </si>
  <si>
    <t>ST2 (20.02.) - 7 Spieler</t>
  </si>
  <si>
    <t>R1: Get.1., R2: Get.1.</t>
  </si>
  <si>
    <t xml:space="preserve">Jochen </t>
  </si>
  <si>
    <t>Summe</t>
  </si>
  <si>
    <t>16.01.</t>
  </si>
  <si>
    <t>anwesend</t>
  </si>
  <si>
    <t>R1: 3.Pl.</t>
  </si>
  <si>
    <t>Runde 1</t>
  </si>
  <si>
    <t>geteilte 1. Plätze</t>
  </si>
  <si>
    <t>Topf: 280€</t>
  </si>
  <si>
    <t>Runde 2</t>
  </si>
  <si>
    <t>ST3 (06.03.) - 6 Spieler</t>
  </si>
  <si>
    <t>Score Spieltag</t>
  </si>
  <si>
    <t>R1: Get.1.+10, R2: Get.1.</t>
  </si>
  <si>
    <t>R1: Get.1.+10, R2: Get.3.</t>
  </si>
  <si>
    <t>20.02.</t>
  </si>
  <si>
    <t>R2: Get.3.</t>
  </si>
  <si>
    <t>ST4 (15.05.) - 6 Spieler</t>
  </si>
  <si>
    <t>R1: Get.1., R2: 3.Pl.</t>
  </si>
  <si>
    <t>06.03.</t>
  </si>
  <si>
    <t>ST5 (10.07.) - 10 Spieler</t>
  </si>
  <si>
    <t>R1: 4.Pl., R2: 4.Pl.</t>
  </si>
  <si>
    <t>15.05.</t>
  </si>
  <si>
    <t>R1: Get.5.(÷2), R2: 5.Pl.</t>
  </si>
  <si>
    <t>R1: Get.5.(÷2)</t>
  </si>
  <si>
    <t>Topf: 400€</t>
  </si>
  <si>
    <t>ST6 (21.08.) - 8 Spieler</t>
  </si>
  <si>
    <t>R1: 3.Pl., R2: 3.Pl.</t>
  </si>
  <si>
    <t>R1: Get.4.(÷3), R2: Get.1.</t>
  </si>
  <si>
    <t xml:space="preserve">10.07. </t>
  </si>
  <si>
    <t>R1: Get.4.(÷3), R2: 4.Pl.</t>
  </si>
  <si>
    <t>R1: Get.4.(÷3)</t>
  </si>
  <si>
    <t>Topf: 320€</t>
  </si>
  <si>
    <t>5. Platz</t>
  </si>
  <si>
    <t>durch 2 Spieler geteilt</t>
  </si>
  <si>
    <t>ST7 (16.10.) - 6 Spieler</t>
  </si>
  <si>
    <t>R1: Get.1., R2: Get.3.</t>
  </si>
  <si>
    <t>21.08.</t>
  </si>
  <si>
    <t>ST8 (18.11.) - 8 Spieler</t>
  </si>
  <si>
    <t>durch 3 Spieler geteilt</t>
  </si>
  <si>
    <t>16.10.</t>
  </si>
  <si>
    <t>R1: 4.Pl.</t>
  </si>
  <si>
    <t>ST9 (05.12.) - 9 Spieler</t>
  </si>
  <si>
    <t>R1: 3.Pl., R2: Get.3.</t>
  </si>
  <si>
    <t>R1: 4.Pl., R2: Get.3.</t>
  </si>
  <si>
    <t>Topf: 360€</t>
  </si>
  <si>
    <t>ST10 (15.01.26) - 8 Spieler</t>
  </si>
  <si>
    <t>R1: 4.Pl., R2: Get.1.</t>
  </si>
  <si>
    <t>R2: 4.Pl.</t>
  </si>
  <si>
    <t>Rangliste Gesamtgewinn</t>
  </si>
  <si>
    <t>Rang</t>
  </si>
  <si>
    <t>Gewinn (€)</t>
  </si>
  <si>
    <t>Teilnahmen*</t>
  </si>
  <si>
    <t>GESAMT</t>
  </si>
  <si>
    <t>Teilnahmen lt. Originaltabelle</t>
  </si>
  <si>
    <t>Rangliste Gewinn pro Spieltag</t>
  </si>
  <si>
    <t>€/Spieltag</t>
  </si>
  <si>
    <t>Teilnahmen</t>
  </si>
  <si>
    <t>Mindestens 8 Teilnahmen erforderlich</t>
  </si>
  <si>
    <t>WINDMILL POKER 2025 – AUSZAHLUNGSÜBERSICHT</t>
  </si>
  <si>
    <t>EINGABE NEUER SPIELTAG</t>
  </si>
  <si>
    <t>Spieltag:</t>
  </si>
  <si>
    <t>ST11</t>
  </si>
  <si>
    <t>Datum:</t>
  </si>
  <si>
    <t>19.02.26</t>
  </si>
  <si>
    <t>GELDVERTEILUNG PRO RUNDE</t>
  </si>
  <si>
    <t>Get.1. (×2)</t>
  </si>
  <si>
    <t>Get.3. (×2)</t>
  </si>
  <si>
    <t>Get.4. (×2)</t>
  </si>
  <si>
    <t>Topf/Runde</t>
  </si>
  <si>
    <t>Anw.</t>
  </si>
  <si>
    <t>R1 (€)</t>
  </si>
  <si>
    <t>R2 (€)</t>
  </si>
  <si>
    <t>Gesamt (€)</t>
  </si>
  <si>
    <t>Platzierungen</t>
  </si>
  <si>
    <t>Get. = geteilt, Betrag je Spieler. Grau = nicht verfügbar bei dieser Spieleranzahl.</t>
  </si>
  <si>
    <t>ST1</t>
  </si>
  <si>
    <t>ST2</t>
  </si>
  <si>
    <t>ST3</t>
  </si>
  <si>
    <t>ST4</t>
  </si>
  <si>
    <t>ST5</t>
  </si>
  <si>
    <t>ST6</t>
  </si>
  <si>
    <t>ST7</t>
  </si>
  <si>
    <t>ST8</t>
  </si>
  <si>
    <t>ST9</t>
  </si>
  <si>
    <t>ST10</t>
  </si>
  <si>
    <t>Datum</t>
  </si>
  <si>
    <t>10.07.</t>
  </si>
  <si>
    <t>18.11.</t>
  </si>
  <si>
    <t>05.12.</t>
  </si>
  <si>
    <t>15.01.26</t>
  </si>
  <si>
    <t>Topf (€)</t>
  </si>
  <si>
    <t>Σ Check</t>
  </si>
  <si>
    <t>Legende:</t>
  </si>
  <si>
    <t xml:space="preserve">  •  Betrag = Gewinn in €  |  – = teilgenommen, kein Gewinn  |  grau = nicht teilgenommen  |  gelb = höchster Gewinn des Spieltags</t>
  </si>
  <si>
    <t xml:space="preserve">  •  Einsatz: 20€/Runde, 2 Runden/Spieltag. Topf = Spieler × 40€. Get.1. = voller Betrag pro Spieler (kein Split).</t>
  </si>
  <si>
    <t xml:space="preserve">  •  €/Spieltag: nur Spieler mit mind. 8 Teilnahmen werden in der Wertung berücksichtigt.</t>
  </si>
  <si>
    <t>Σ Moneylist</t>
  </si>
  <si>
    <t>ST12</t>
  </si>
  <si>
    <t>05.03.26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</si>
</sst>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d/m/yyyy"/>
    <numFmt numFmtId="165" formatCode="dd/mm/"/>
    <numFmt numFmtId="166" formatCode="#,##0\ &quot;€&quot;"/>
    <numFmt numFmtId="167" formatCode="#,##0.00;#,##0.00;&quot;-&quot;"/>
    <numFmt numFmtId="168" formatCode="#,##0.00;\-#,##0.00;&quot;-&quot;"/>
  </numFmts>
  <fonts count="25" x14ac:knownFonts="1">
    <font>
      <sz val="11"/>
      <color theme="1"/>
      <name val="Aptos Narrow"/>
      <scheme val="minor"/>
    </font>
    <font>
      <b/>
      <sz val="24"/>
      <color theme="1"/>
      <name val="Aptos Narrow"/>
    </font>
    <font>
      <sz val="11"/>
      <color theme="1"/>
      <name val="Aptos Narrow"/>
      <scheme val="minor"/>
    </font>
    <font>
      <sz val="11"/>
      <color theme="1"/>
      <name val="Aptos Narrow"/>
    </font>
    <font>
      <b/>
      <sz val="11"/>
      <color rgb="FFFFFFFF"/>
      <name val="Aptos Narrow"/>
    </font>
    <font>
      <i/>
      <sz val="11"/>
      <color theme="1"/>
      <name val="Aptos Narrow"/>
    </font>
    <font>
      <b/>
      <sz val="10"/>
      <color theme="1"/>
      <name val="Aptos Narrow"/>
    </font>
    <font>
      <sz val="10"/>
      <color theme="1"/>
      <name val="Aptos Narrow"/>
    </font>
    <font>
      <sz val="10"/>
      <color rgb="FF666666"/>
      <name val="Aptos Narrow"/>
    </font>
    <font>
      <b/>
      <sz val="14"/>
      <color theme="1"/>
      <name val="Aptos Narrow"/>
    </font>
    <font>
      <b/>
      <i/>
      <sz val="14"/>
      <color theme="1"/>
      <name val="Aptos Narrow"/>
    </font>
    <font>
      <b/>
      <sz val="10"/>
      <color rgb="FF666666"/>
      <name val="Aptos Narrow"/>
    </font>
    <font>
      <b/>
      <sz val="11"/>
      <color theme="1"/>
      <name val="Aptos Narrow"/>
    </font>
    <font>
      <b/>
      <sz val="14"/>
      <color theme="6"/>
      <name val="Courier New"/>
    </font>
    <font>
      <b/>
      <sz val="14"/>
      <color rgb="FF196B24"/>
      <name val="Courier New"/>
    </font>
    <font>
      <i/>
      <sz val="9"/>
      <color rgb="FF808080"/>
      <name val="Aptos Narrow"/>
    </font>
    <font>
      <b/>
      <sz val="14"/>
      <color rgb="FF000000"/>
      <name val="Aptos Narrow"/>
    </font>
    <font>
      <b/>
      <sz val="14"/>
      <color rgb="FFFFFFFF"/>
      <name val="Calibri"/>
    </font>
    <font>
      <b/>
      <sz val="12"/>
      <color rgb="FFFFFFFF"/>
      <name val="Aptos Narrow"/>
    </font>
    <font>
      <sz val="9"/>
      <color rgb="FF555555"/>
      <name val="Aptos Narrow"/>
    </font>
    <font>
      <sz val="11"/>
      <color rgb="FF000000"/>
      <name val="Aptos Narrow"/>
    </font>
    <font>
      <b/>
      <sz val="11"/>
      <color rgb="FF000000"/>
      <name val="Aptos Narrow"/>
    </font>
    <font>
      <b/>
      <sz val="9"/>
      <color rgb="FF548235"/>
      <name val="Aptos Narrow"/>
    </font>
    <font>
      <b/>
      <sz val="9"/>
      <color rgb="FF555555"/>
      <name val="Aptos Narrow"/>
    </font>
    <font>
      <sz val="9"/>
      <color rgb="FF808080"/>
      <name val="Aptos Narrow"/>
    </font>
  </fonts>
  <fills count="13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rgb="FFD6E4F0"/>
        <bgColor rgb="FFD6E4F0"/>
      </patternFill>
    </fill>
    <fill>
      <patternFill patternType="solid">
        <fgColor rgb="FF2F5496"/>
        <bgColor rgb="FF2F5496"/>
      </patternFill>
    </fill>
    <fill>
      <patternFill patternType="solid">
        <fgColor rgb="FF548235"/>
        <bgColor rgb="FF548235"/>
      </patternFill>
    </fill>
    <fill>
      <patternFill patternType="solid">
        <fgColor rgb="FFFFFFF0"/>
        <bgColor rgb="FFFFFFF0"/>
      </patternFill>
    </fill>
    <fill>
      <patternFill patternType="solid">
        <fgColor rgb="FFE2EFDA"/>
        <bgColor rgb="FFE2EFDA"/>
      </patternFill>
    </fill>
    <fill>
      <patternFill patternType="solid">
        <fgColor rgb="FFE9EFF7"/>
        <bgColor rgb="FFE9EFF7"/>
      </patternFill>
    </fill>
    <fill>
      <patternFill patternType="solid">
        <fgColor rgb="FFF7F9FC"/>
        <bgColor rgb="FFF7F9FC"/>
      </patternFill>
    </fill>
    <fill>
      <patternFill patternType="solid">
        <fgColor rgb="FFFFFFFF"/>
        <bgColor rgb="FFFFFFFF"/>
      </patternFill>
    </fill>
    <fill>
      <patternFill patternType="solid">
        <fgColor rgb="FFF2F7FB"/>
        <bgColor rgb="FFF2F7FB"/>
      </patternFill>
    </fill>
    <fill>
      <patternFill patternType="solid">
        <fgColor rgb="FFFFFFFF"/>
        <bgColor indexed="64"/>
      </patternFill>
    </fill>
  </fills>
  <borders count="68">
    <border>
      <left/>
      <right/>
      <top/>
      <bottom/>
      <diagonal/>
    </border>
    <border>
      <left/>
      <right/>
      <top/>
      <bottom/>
      <diagonal/>
    </border>
    <border>
      <left/>
      <right/>
      <top style="medium">
        <color rgb="FF000000"/>
      </top>
      <bottom/>
      <diagonal/>
    </border>
    <border>
      <left style="medium">
        <color rgb="FF2F5496"/>
      </left>
      <right style="thin">
        <color rgb="FFB4C6E7"/>
      </right>
      <top style="medium">
        <color rgb="FF2F5496"/>
      </top>
      <bottom style="thin">
        <color rgb="FFB4C6E7"/>
      </bottom>
      <diagonal/>
    </border>
    <border>
      <left style="thin">
        <color rgb="FFB4C6E7"/>
      </left>
      <right style="thin">
        <color rgb="FFB4C6E7"/>
      </right>
      <top style="medium">
        <color rgb="FF2F5496"/>
      </top>
      <bottom style="thin">
        <color rgb="FFB4C6E7"/>
      </bottom>
      <diagonal/>
    </border>
    <border>
      <left style="thin">
        <color rgb="FFB4C6E7"/>
      </left>
      <right/>
      <top style="medium">
        <color rgb="FF2F5496"/>
      </top>
      <bottom style="thin">
        <color rgb="FFB4C6E7"/>
      </bottom>
      <diagonal/>
    </border>
    <border>
      <left style="medium">
        <color rgb="FF2F5496"/>
      </left>
      <right style="medium">
        <color rgb="FF2F5496"/>
      </right>
      <top style="medium">
        <color rgb="FF2F5496"/>
      </top>
      <bottom style="thin">
        <color rgb="FFB4C6E7"/>
      </bottom>
      <diagonal/>
    </border>
    <border>
      <left style="medium">
        <color rgb="FF548235"/>
      </left>
      <right style="thin">
        <color rgb="FFC5E0B4"/>
      </right>
      <top style="medium">
        <color rgb="FF548235"/>
      </top>
      <bottom style="thin">
        <color rgb="FFC5E0B4"/>
      </bottom>
      <diagonal/>
    </border>
    <border>
      <left style="thin">
        <color rgb="FFC5E0B4"/>
      </left>
      <right style="thin">
        <color rgb="FFC5E0B4"/>
      </right>
      <top style="medium">
        <color rgb="FF548235"/>
      </top>
      <bottom style="thin">
        <color rgb="FFC5E0B4"/>
      </bottom>
      <diagonal/>
    </border>
    <border>
      <left style="thin">
        <color rgb="FFC5E0B4"/>
      </left>
      <right/>
      <top style="medium">
        <color rgb="FF548235"/>
      </top>
      <bottom style="thin">
        <color rgb="FFC5E0B4"/>
      </bottom>
      <diagonal/>
    </border>
    <border>
      <left/>
      <right style="medium">
        <color rgb="FF548235"/>
      </right>
      <top style="medium">
        <color rgb="FF548235"/>
      </top>
      <bottom style="thin">
        <color rgb="FFC5E0B4"/>
      </bottom>
      <diagonal/>
    </border>
    <border>
      <left style="medium">
        <color rgb="FF2F5496"/>
      </left>
      <right style="thin">
        <color rgb="FFB4C6E7"/>
      </right>
      <top style="thin">
        <color rgb="FFB4C6E7"/>
      </top>
      <bottom style="thin">
        <color rgb="FFB4C6E7"/>
      </bottom>
      <diagonal/>
    </border>
    <border>
      <left style="thin">
        <color rgb="FFB4C6E7"/>
      </left>
      <right style="thin">
        <color rgb="FFB4C6E7"/>
      </right>
      <top style="thin">
        <color rgb="FFB4C6E7"/>
      </top>
      <bottom style="thin">
        <color rgb="FFB4C6E7"/>
      </bottom>
      <diagonal/>
    </border>
    <border>
      <left style="thin">
        <color rgb="FFB4C6E7"/>
      </left>
      <right/>
      <top style="thin">
        <color rgb="FFB4C6E7"/>
      </top>
      <bottom style="thin">
        <color rgb="FFB4C6E7"/>
      </bottom>
      <diagonal/>
    </border>
    <border>
      <left style="medium">
        <color rgb="FF2F5496"/>
      </left>
      <right style="medium">
        <color rgb="FF2F5496"/>
      </right>
      <top style="thin">
        <color rgb="FFB4C6E7"/>
      </top>
      <bottom style="thin">
        <color rgb="FFB4C6E7"/>
      </bottom>
      <diagonal/>
    </border>
    <border>
      <left style="medium">
        <color rgb="FF548235"/>
      </left>
      <right style="thin">
        <color rgb="FFC5E0B4"/>
      </right>
      <top style="thin">
        <color rgb="FFC5E0B4"/>
      </top>
      <bottom style="thin">
        <color rgb="FFC5E0B4"/>
      </bottom>
      <diagonal/>
    </border>
    <border>
      <left style="thin">
        <color rgb="FFC5E0B4"/>
      </left>
      <right style="thin">
        <color rgb="FFC5E0B4"/>
      </right>
      <top style="thin">
        <color rgb="FFC5E0B4"/>
      </top>
      <bottom style="thin">
        <color rgb="FFC5E0B4"/>
      </bottom>
      <diagonal/>
    </border>
    <border>
      <left style="thin">
        <color rgb="FFC5E0B4"/>
      </left>
      <right/>
      <top style="thin">
        <color rgb="FFC5E0B4"/>
      </top>
      <bottom style="thin">
        <color rgb="FFC5E0B4"/>
      </bottom>
      <diagonal/>
    </border>
    <border>
      <left/>
      <right style="medium">
        <color rgb="FF548235"/>
      </right>
      <top style="thin">
        <color rgb="FFC5E0B4"/>
      </top>
      <bottom style="thin">
        <color rgb="FFC5E0B4"/>
      </bottom>
      <diagonal/>
    </border>
    <border>
      <left style="thin">
        <color rgb="FFB4C6E7"/>
      </left>
      <right/>
      <top style="thin">
        <color rgb="FFB4C6E7"/>
      </top>
      <bottom style="thin">
        <color rgb="FFB4C6E7"/>
      </bottom>
      <diagonal/>
    </border>
    <border>
      <left style="medium">
        <color rgb="FF2F5496"/>
      </left>
      <right style="thin">
        <color rgb="FFB4C6E7"/>
      </right>
      <top style="thin">
        <color rgb="FFB4C6E7"/>
      </top>
      <bottom style="medium">
        <color rgb="FF2F5496"/>
      </bottom>
      <diagonal/>
    </border>
    <border>
      <left style="thin">
        <color rgb="FFB4C6E7"/>
      </left>
      <right style="thin">
        <color rgb="FFB4C6E7"/>
      </right>
      <top style="thin">
        <color rgb="FFB4C6E7"/>
      </top>
      <bottom style="medium">
        <color rgb="FF2F5496"/>
      </bottom>
      <diagonal/>
    </border>
    <border>
      <left style="thin">
        <color rgb="FFB4C6E7"/>
      </left>
      <right/>
      <top style="thin">
        <color rgb="FFB4C6E7"/>
      </top>
      <bottom style="medium">
        <color rgb="FF2F5496"/>
      </bottom>
      <diagonal/>
    </border>
    <border>
      <left style="medium">
        <color rgb="FF2F5496"/>
      </left>
      <right style="medium">
        <color rgb="FF2F5496"/>
      </right>
      <top style="thin">
        <color rgb="FFB4C6E7"/>
      </top>
      <bottom style="medium">
        <color rgb="FF2F5496"/>
      </bottom>
      <diagonal/>
    </border>
    <border>
      <left style="medium">
        <color rgb="FF548235"/>
      </left>
      <right style="thin">
        <color rgb="FFC5E0B4"/>
      </right>
      <top style="thin">
        <color rgb="FFC5E0B4"/>
      </top>
      <bottom/>
      <diagonal/>
    </border>
    <border>
      <left style="thin">
        <color rgb="FFC5E0B4"/>
      </left>
      <right style="thin">
        <color rgb="FFC5E0B4"/>
      </right>
      <top style="thin">
        <color rgb="FFC5E0B4"/>
      </top>
      <bottom/>
      <diagonal/>
    </border>
    <border>
      <left style="thin">
        <color rgb="FFC5E0B4"/>
      </left>
      <right/>
      <top style="thin">
        <color rgb="FFC5E0B4"/>
      </top>
      <bottom/>
      <diagonal/>
    </border>
    <border>
      <left/>
      <right style="medium">
        <color rgb="FF548235"/>
      </right>
      <top style="thin">
        <color rgb="FFC5E0B4"/>
      </top>
      <bottom/>
      <diagonal/>
    </border>
    <border>
      <left style="medium">
        <color rgb="FF2F5496"/>
      </left>
      <right style="medium">
        <color rgb="FF2F5496"/>
      </right>
      <top style="medium">
        <color rgb="FF2F5496"/>
      </top>
      <bottom style="medium">
        <color rgb="FF2F5496"/>
      </bottom>
      <diagonal/>
    </border>
    <border>
      <left/>
      <right style="thin">
        <color rgb="FFB4C6E7"/>
      </right>
      <top style="medium">
        <color rgb="FF2F5496"/>
      </top>
      <bottom style="medium">
        <color rgb="FF2F5496"/>
      </bottom>
      <diagonal/>
    </border>
    <border>
      <left style="thin">
        <color rgb="FFB4C6E7"/>
      </left>
      <right style="thin">
        <color rgb="FFB4C6E7"/>
      </right>
      <top style="medium">
        <color rgb="FF2F5496"/>
      </top>
      <bottom style="medium">
        <color rgb="FF2F5496"/>
      </bottom>
      <diagonal/>
    </border>
    <border>
      <left style="thin">
        <color rgb="FFB4C6E7"/>
      </left>
      <right/>
      <top style="medium">
        <color rgb="FF2F5496"/>
      </top>
      <bottom style="medium">
        <color rgb="FF2F5496"/>
      </bottom>
      <diagonal/>
    </border>
    <border>
      <left style="thin">
        <color rgb="FF2F5496"/>
      </left>
      <right style="medium">
        <color rgb="FF2F5496"/>
      </right>
      <top style="medium">
        <color rgb="FF2F5496"/>
      </top>
      <bottom style="medium">
        <color rgb="FF2F5496"/>
      </bottom>
      <diagonal/>
    </border>
    <border>
      <left style="thin">
        <color rgb="FFB4C6E7"/>
      </left>
      <right style="medium">
        <color rgb="FF2F5496"/>
      </right>
      <top style="medium">
        <color rgb="FF2F5496"/>
      </top>
      <bottom style="medium">
        <color rgb="FF2F5496"/>
      </bottom>
      <diagonal/>
    </border>
    <border>
      <left style="medium">
        <color rgb="FF548235"/>
      </left>
      <right/>
      <top style="thin">
        <color rgb="FFC5E0B4"/>
      </top>
      <bottom style="thin">
        <color rgb="FFC5E0B4"/>
      </bottom>
      <diagonal/>
    </border>
    <border>
      <left style="thin">
        <color rgb="FFC5E0B4"/>
      </left>
      <right style="medium">
        <color rgb="FF548235"/>
      </right>
      <top style="thin">
        <color rgb="FFC5E0B4"/>
      </top>
      <bottom style="thin">
        <color rgb="FFC5E0B4"/>
      </bottom>
      <diagonal/>
    </border>
    <border>
      <left style="medium">
        <color rgb="FF2F5496"/>
      </left>
      <right style="medium">
        <color rgb="FF2F5496"/>
      </right>
      <top/>
      <bottom style="thin">
        <color rgb="FFB4C6E7"/>
      </bottom>
      <diagonal/>
    </border>
    <border>
      <left/>
      <right style="thin">
        <color rgb="FFB4C6E7"/>
      </right>
      <top/>
      <bottom style="thin">
        <color rgb="FFB4C6E7"/>
      </bottom>
      <diagonal/>
    </border>
    <border>
      <left style="thin">
        <color rgb="FFB4C6E7"/>
      </left>
      <right style="thin">
        <color rgb="FFB4C6E7"/>
      </right>
      <top/>
      <bottom style="thin">
        <color rgb="FFB4C6E7"/>
      </bottom>
      <diagonal/>
    </border>
    <border>
      <left style="thin">
        <color rgb="FFB4C6E7"/>
      </left>
      <right/>
      <top/>
      <bottom style="thin">
        <color rgb="FFB4C6E7"/>
      </bottom>
      <diagonal/>
    </border>
    <border>
      <left style="thin">
        <color rgb="FF2F5496"/>
      </left>
      <right style="medium">
        <color rgb="FF2F5496"/>
      </right>
      <top/>
      <bottom style="thin">
        <color rgb="FFB4C6E7"/>
      </bottom>
      <diagonal/>
    </border>
    <border>
      <left style="thin">
        <color rgb="FFB4C6E7"/>
      </left>
      <right style="medium">
        <color rgb="FF2F5496"/>
      </right>
      <top/>
      <bottom style="thin">
        <color rgb="FFB4C6E7"/>
      </bottom>
      <diagonal/>
    </border>
    <border>
      <left style="medium">
        <color rgb="FF548235"/>
      </left>
      <right style="thin">
        <color rgb="FFC5E0B4"/>
      </right>
      <top/>
      <bottom style="thin">
        <color rgb="FFC5E0B4"/>
      </bottom>
      <diagonal/>
    </border>
    <border>
      <left style="thin">
        <color rgb="FFC5E0B4"/>
      </left>
      <right style="thin">
        <color rgb="FFC5E0B4"/>
      </right>
      <top/>
      <bottom style="thin">
        <color rgb="FFC5E0B4"/>
      </bottom>
      <diagonal/>
    </border>
    <border>
      <left style="thin">
        <color rgb="FFC5E0B4"/>
      </left>
      <right/>
      <top/>
      <bottom style="thin">
        <color rgb="FFC5E0B4"/>
      </bottom>
      <diagonal/>
    </border>
    <border>
      <left/>
      <right style="medium">
        <color rgb="FF548235"/>
      </right>
      <top/>
      <bottom style="thin">
        <color rgb="FFC5E0B4"/>
      </bottom>
      <diagonal/>
    </border>
    <border>
      <left style="medium">
        <color rgb="FF2F5496"/>
      </left>
      <right style="medium">
        <color rgb="FF2F5496"/>
      </right>
      <top style="thin">
        <color rgb="FFB4C6E7"/>
      </top>
      <bottom/>
      <diagonal/>
    </border>
    <border>
      <left/>
      <right style="thin">
        <color rgb="FFB4C6E7"/>
      </right>
      <top style="thin">
        <color rgb="FFB4C6E7"/>
      </top>
      <bottom/>
      <diagonal/>
    </border>
    <border>
      <left style="thin">
        <color rgb="FFB4C6E7"/>
      </left>
      <right style="thin">
        <color rgb="FFB4C6E7"/>
      </right>
      <top style="thin">
        <color rgb="FFB4C6E7"/>
      </top>
      <bottom/>
      <diagonal/>
    </border>
    <border>
      <left style="thin">
        <color rgb="FFB4C6E7"/>
      </left>
      <right/>
      <top style="thin">
        <color rgb="FFB4C6E7"/>
      </top>
      <bottom/>
      <diagonal/>
    </border>
    <border>
      <left style="thin">
        <color rgb="FF2F5496"/>
      </left>
      <right style="medium">
        <color rgb="FF2F5496"/>
      </right>
      <top style="thin">
        <color rgb="FFB4C6E7"/>
      </top>
      <bottom/>
      <diagonal/>
    </border>
    <border>
      <left style="thin">
        <color rgb="FFB4C6E7"/>
      </left>
      <right style="medium">
        <color rgb="FF2F5496"/>
      </right>
      <top style="thin">
        <color rgb="FFB4C6E7"/>
      </top>
      <bottom/>
      <diagonal/>
    </border>
    <border>
      <left/>
      <right style="thin">
        <color rgb="FFB4C6E7"/>
      </right>
      <top style="thin">
        <color rgb="FFB4C6E7"/>
      </top>
      <bottom style="medium">
        <color rgb="FF2F5496"/>
      </bottom>
      <diagonal/>
    </border>
    <border>
      <left style="thin">
        <color rgb="FFB4C6E7"/>
      </left>
      <right/>
      <top style="thin">
        <color rgb="FFB4C6E7"/>
      </top>
      <bottom style="medium">
        <color rgb="FF2F5496"/>
      </bottom>
      <diagonal/>
    </border>
    <border>
      <left style="thin">
        <color rgb="FF2F5496"/>
      </left>
      <right style="medium">
        <color rgb="FF2F5496"/>
      </right>
      <top style="thin">
        <color rgb="FFB4C6E7"/>
      </top>
      <bottom style="medium">
        <color rgb="FF2F5496"/>
      </bottom>
      <diagonal/>
    </border>
    <border>
      <left style="thin">
        <color rgb="FFB4C6E7"/>
      </left>
      <right style="medium">
        <color rgb="FF2F5496"/>
      </right>
      <top style="thin">
        <color rgb="FFB4C6E7"/>
      </top>
      <bottom style="medium">
        <color rgb="FF2F5496"/>
      </bottom>
      <diagonal/>
    </border>
    <border>
      <left style="medium">
        <color rgb="FF548235"/>
      </left>
      <right style="thin">
        <color rgb="FFC5E0B4"/>
      </right>
      <top style="thin">
        <color rgb="FFC5E0B4"/>
      </top>
      <bottom style="medium">
        <color rgb="FF548235"/>
      </bottom>
      <diagonal/>
    </border>
    <border>
      <left style="thin">
        <color rgb="FFC5E0B4"/>
      </left>
      <right style="thin">
        <color rgb="FFC5E0B4"/>
      </right>
      <top style="thin">
        <color rgb="FFC5E0B4"/>
      </top>
      <bottom style="medium">
        <color rgb="FF548235"/>
      </bottom>
      <diagonal/>
    </border>
    <border>
      <left style="thin">
        <color rgb="FFC5E0B4"/>
      </left>
      <right/>
      <top style="thin">
        <color rgb="FFC5E0B4"/>
      </top>
      <bottom style="medium">
        <color rgb="FF548235"/>
      </bottom>
      <diagonal/>
    </border>
    <border>
      <left/>
      <right style="medium">
        <color rgb="FF548235"/>
      </right>
      <top style="thin">
        <color rgb="FFC5E0B4"/>
      </top>
      <bottom style="medium">
        <color rgb="FF548235"/>
      </bottom>
      <diagonal/>
    </border>
    <border>
      <left/>
      <right style="thin">
        <color rgb="FFB4C6E7"/>
      </right>
      <top style="thin">
        <color rgb="FFB4C6E7"/>
      </top>
      <bottom style="thin">
        <color rgb="FFB4C6E7"/>
      </bottom>
      <diagonal/>
    </border>
    <border>
      <left style="thin">
        <color rgb="FF2F5496"/>
      </left>
      <right style="medium">
        <color rgb="FF2F5496"/>
      </right>
      <top style="thin">
        <color rgb="FFB4C6E7"/>
      </top>
      <bottom style="thin">
        <color rgb="FFB4C6E7"/>
      </bottom>
      <diagonal/>
    </border>
    <border>
      <left style="thin">
        <color rgb="FFB4C6E7"/>
      </left>
      <right style="medium">
        <color rgb="FF2F5496"/>
      </right>
      <top style="thin">
        <color rgb="FFB4C6E7"/>
      </top>
      <bottom style="thin">
        <color rgb="FFB4C6E7"/>
      </bottom>
      <diagonal/>
    </border>
    <border>
      <left/>
      <right/>
      <top style="medium">
        <color rgb="FF2F5496"/>
      </top>
      <bottom style="medium">
        <color rgb="FF2F5496"/>
      </bottom>
      <diagonal/>
    </border>
    <border>
      <left/>
      <right/>
      <top/>
      <bottom style="thin">
        <color rgb="FFB4C6E7"/>
      </bottom>
      <diagonal/>
    </border>
    <border>
      <left/>
      <right/>
      <top style="thin">
        <color rgb="FFB4C6E7"/>
      </top>
      <bottom/>
      <diagonal/>
    </border>
    <border>
      <left/>
      <right/>
      <top style="thin">
        <color rgb="FFB4C6E7"/>
      </top>
      <bottom style="medium">
        <color rgb="FF2F5496"/>
      </bottom>
      <diagonal/>
    </border>
    <border>
      <left/>
      <right/>
      <top style="thin">
        <color rgb="FFB4C6E7"/>
      </top>
      <bottom style="thin">
        <color rgb="FFB4C6E7"/>
      </bottom>
      <diagonal/>
    </border>
  </borders>
  <cellStyleXfs count="1">
    <xf numFmtId="0" fontId="0" fillId="0" borderId="0"/>
  </cellStyleXfs>
  <cellXfs count="162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 applyAlignment="1">
      <alignment wrapText="1"/>
    </xf>
    <xf numFmtId="0" fontId="4" fillId="2" borderId="1" xfId="0" applyFont="1" applyFill="1" applyBorder="1"/>
    <xf numFmtId="0" fontId="3" fillId="2" borderId="1" xfId="0" applyFont="1" applyFill="1" applyBorder="1"/>
    <xf numFmtId="0" fontId="5" fillId="0" borderId="0" xfId="0" applyFont="1" applyAlignment="1">
      <alignment wrapText="1"/>
    </xf>
    <xf numFmtId="0" fontId="6" fillId="3" borderId="1" xfId="0" applyFont="1" applyFill="1" applyBorder="1"/>
    <xf numFmtId="0" fontId="6" fillId="3" borderId="1" xfId="0" applyFont="1" applyFill="1" applyBorder="1" applyAlignment="1">
      <alignment horizontal="right"/>
    </xf>
    <xf numFmtId="0" fontId="3" fillId="0" borderId="0" xfId="0" applyFont="1" applyAlignment="1">
      <alignment horizontal="center"/>
    </xf>
    <xf numFmtId="0" fontId="3" fillId="0" borderId="0" xfId="0" applyFont="1" applyAlignment="1">
      <alignment horizontal="center" wrapText="1"/>
    </xf>
    <xf numFmtId="0" fontId="5" fillId="0" borderId="0" xfId="0" applyFont="1" applyAlignment="1">
      <alignment horizontal="center" wrapText="1"/>
    </xf>
    <xf numFmtId="0" fontId="7" fillId="0" borderId="0" xfId="0" applyFont="1"/>
    <xf numFmtId="4" fontId="7" fillId="0" borderId="0" xfId="0" applyNumberFormat="1" applyFont="1" applyAlignment="1">
      <alignment horizontal="right"/>
    </xf>
    <xf numFmtId="0" fontId="8" fillId="0" borderId="0" xfId="0" applyFont="1"/>
    <xf numFmtId="0" fontId="9" fillId="0" borderId="0" xfId="0" applyFont="1"/>
    <xf numFmtId="0" fontId="10" fillId="0" borderId="0" xfId="0" applyFont="1" applyAlignment="1">
      <alignment horizontal="center"/>
    </xf>
    <xf numFmtId="0" fontId="6" fillId="0" borderId="2" xfId="0" applyFont="1" applyBorder="1"/>
    <xf numFmtId="4" fontId="6" fillId="0" borderId="2" xfId="0" applyNumberFormat="1" applyFont="1" applyBorder="1" applyAlignment="1">
      <alignment horizontal="right"/>
    </xf>
    <xf numFmtId="0" fontId="8" fillId="0" borderId="2" xfId="0" applyFont="1" applyBorder="1"/>
    <xf numFmtId="0" fontId="11" fillId="3" borderId="1" xfId="0" applyFont="1" applyFill="1" applyBorder="1"/>
    <xf numFmtId="0" fontId="9" fillId="0" borderId="0" xfId="0" applyFont="1" applyAlignment="1">
      <alignment horizontal="left"/>
    </xf>
    <xf numFmtId="0" fontId="12" fillId="0" borderId="0" xfId="0" applyFont="1"/>
    <xf numFmtId="0" fontId="13" fillId="0" borderId="0" xfId="0" applyFont="1" applyAlignment="1">
      <alignment horizontal="center" vertical="center"/>
    </xf>
    <xf numFmtId="0" fontId="9" fillId="0" borderId="0" xfId="0" applyFont="1" applyAlignment="1">
      <alignment horizontal="center"/>
    </xf>
    <xf numFmtId="0" fontId="3" fillId="0" borderId="0" xfId="0" applyFont="1"/>
    <xf numFmtId="164" fontId="3" fillId="0" borderId="0" xfId="0" applyNumberFormat="1" applyFont="1"/>
    <xf numFmtId="0" fontId="12" fillId="3" borderId="1" xfId="0" applyFont="1" applyFill="1" applyBorder="1"/>
    <xf numFmtId="4" fontId="3" fillId="0" borderId="0" xfId="0" applyNumberFormat="1" applyFont="1"/>
    <xf numFmtId="165" fontId="3" fillId="0" borderId="0" xfId="0" applyNumberFormat="1" applyFont="1"/>
    <xf numFmtId="0" fontId="14" fillId="0" borderId="0" xfId="0" applyFont="1" applyAlignment="1">
      <alignment horizontal="center"/>
    </xf>
    <xf numFmtId="4" fontId="12" fillId="3" borderId="1" xfId="0" applyNumberFormat="1" applyFont="1" applyFill="1" applyBorder="1"/>
    <xf numFmtId="0" fontId="3" fillId="3" borderId="1" xfId="0" applyFont="1" applyFill="1" applyBorder="1"/>
    <xf numFmtId="0" fontId="15" fillId="0" borderId="0" xfId="0" applyFont="1"/>
    <xf numFmtId="0" fontId="16" fillId="0" borderId="0" xfId="0" applyFont="1" applyAlignment="1">
      <alignment horizontal="center"/>
    </xf>
    <xf numFmtId="0" fontId="17" fillId="4" borderId="1" xfId="0" applyFont="1" applyFill="1" applyBorder="1"/>
    <xf numFmtId="0" fontId="3" fillId="4" borderId="1" xfId="0" applyFont="1" applyFill="1" applyBorder="1"/>
    <xf numFmtId="0" fontId="18" fillId="5" borderId="1" xfId="0" applyFont="1" applyFill="1" applyBorder="1"/>
    <xf numFmtId="0" fontId="3" fillId="5" borderId="1" xfId="0" applyFont="1" applyFill="1" applyBorder="1"/>
    <xf numFmtId="0" fontId="12" fillId="6" borderId="1" xfId="0" applyFont="1" applyFill="1" applyBorder="1" applyAlignment="1">
      <alignment horizontal="center"/>
    </xf>
    <xf numFmtId="0" fontId="3" fillId="6" borderId="1" xfId="0" applyFont="1" applyFill="1" applyBorder="1" applyAlignment="1">
      <alignment horizontal="center"/>
    </xf>
    <xf numFmtId="0" fontId="4" fillId="4" borderId="1" xfId="0" applyFont="1" applyFill="1" applyBorder="1"/>
    <xf numFmtId="0" fontId="12" fillId="3" borderId="3" xfId="0" applyFont="1" applyFill="1" applyBorder="1" applyAlignment="1">
      <alignment horizontal="center"/>
    </xf>
    <xf numFmtId="0" fontId="12" fillId="3" borderId="4" xfId="0" applyFont="1" applyFill="1" applyBorder="1" applyAlignment="1">
      <alignment horizontal="center"/>
    </xf>
    <xf numFmtId="0" fontId="12" fillId="3" borderId="5" xfId="0" applyFont="1" applyFill="1" applyBorder="1" applyAlignment="1">
      <alignment horizontal="center"/>
    </xf>
    <xf numFmtId="0" fontId="12" fillId="3" borderId="6" xfId="0" applyFont="1" applyFill="1" applyBorder="1" applyAlignment="1">
      <alignment horizontal="center"/>
    </xf>
    <xf numFmtId="0" fontId="12" fillId="7" borderId="7" xfId="0" applyFont="1" applyFill="1" applyBorder="1"/>
    <xf numFmtId="0" fontId="12" fillId="7" borderId="8" xfId="0" applyFont="1" applyFill="1" applyBorder="1" applyAlignment="1">
      <alignment horizontal="center"/>
    </xf>
    <xf numFmtId="0" fontId="12" fillId="7" borderId="9" xfId="0" applyFont="1" applyFill="1" applyBorder="1" applyAlignment="1">
      <alignment horizontal="center"/>
    </xf>
    <xf numFmtId="0" fontId="12" fillId="7" borderId="7" xfId="0" applyFont="1" applyFill="1" applyBorder="1" applyAlignment="1">
      <alignment horizontal="center"/>
    </xf>
    <xf numFmtId="0" fontId="12" fillId="7" borderId="10" xfId="0" applyFont="1" applyFill="1" applyBorder="1" applyAlignment="1">
      <alignment horizontal="center"/>
    </xf>
    <xf numFmtId="0" fontId="12" fillId="8" borderId="11" xfId="0" applyFont="1" applyFill="1" applyBorder="1" applyAlignment="1">
      <alignment horizontal="center"/>
    </xf>
    <xf numFmtId="166" fontId="3" fillId="0" borderId="12" xfId="0" applyNumberFormat="1" applyFont="1" applyBorder="1" applyAlignment="1">
      <alignment horizontal="center"/>
    </xf>
    <xf numFmtId="166" fontId="3" fillId="8" borderId="14" xfId="0" applyNumberFormat="1" applyFont="1" applyFill="1" applyBorder="1" applyAlignment="1">
      <alignment horizontal="center"/>
    </xf>
    <xf numFmtId="0" fontId="3" fillId="0" borderId="15" xfId="0" applyFont="1" applyBorder="1"/>
    <xf numFmtId="0" fontId="3" fillId="6" borderId="16" xfId="0" applyFont="1" applyFill="1" applyBorder="1" applyAlignment="1">
      <alignment horizontal="center"/>
    </xf>
    <xf numFmtId="167" fontId="3" fillId="6" borderId="16" xfId="0" applyNumberFormat="1" applyFont="1" applyFill="1" applyBorder="1" applyAlignment="1">
      <alignment horizontal="center"/>
    </xf>
    <xf numFmtId="167" fontId="3" fillId="6" borderId="17" xfId="0" applyNumberFormat="1" applyFont="1" applyFill="1" applyBorder="1" applyAlignment="1">
      <alignment horizontal="center"/>
    </xf>
    <xf numFmtId="167" fontId="12" fillId="0" borderId="15" xfId="0" applyNumberFormat="1" applyFont="1" applyBorder="1" applyAlignment="1">
      <alignment horizontal="center"/>
    </xf>
    <xf numFmtId="0" fontId="19" fillId="0" borderId="18" xfId="0" applyFont="1" applyBorder="1" applyAlignment="1">
      <alignment horizontal="center"/>
    </xf>
    <xf numFmtId="0" fontId="12" fillId="9" borderId="11" xfId="0" applyFont="1" applyFill="1" applyBorder="1" applyAlignment="1">
      <alignment horizontal="center"/>
    </xf>
    <xf numFmtId="166" fontId="3" fillId="9" borderId="14" xfId="0" applyNumberFormat="1" applyFont="1" applyFill="1" applyBorder="1" applyAlignment="1">
      <alignment horizontal="center"/>
    </xf>
    <xf numFmtId="166" fontId="3" fillId="0" borderId="19" xfId="0" applyNumberFormat="1" applyFont="1" applyBorder="1" applyAlignment="1">
      <alignment horizontal="center"/>
    </xf>
    <xf numFmtId="0" fontId="12" fillId="9" borderId="20" xfId="0" applyFont="1" applyFill="1" applyBorder="1" applyAlignment="1">
      <alignment horizontal="center"/>
    </xf>
    <xf numFmtId="166" fontId="3" fillId="0" borderId="21" xfId="0" applyNumberFormat="1" applyFont="1" applyBorder="1" applyAlignment="1">
      <alignment horizontal="center"/>
    </xf>
    <xf numFmtId="166" fontId="3" fillId="0" borderId="22" xfId="0" applyNumberFormat="1" applyFont="1" applyBorder="1" applyAlignment="1">
      <alignment horizontal="center"/>
    </xf>
    <xf numFmtId="166" fontId="3" fillId="9" borderId="23" xfId="0" applyNumberFormat="1" applyFont="1" applyFill="1" applyBorder="1" applyAlignment="1">
      <alignment horizontal="center"/>
    </xf>
    <xf numFmtId="0" fontId="3" fillId="0" borderId="24" xfId="0" applyFont="1" applyBorder="1"/>
    <xf numFmtId="0" fontId="3" fillId="6" borderId="25" xfId="0" applyFont="1" applyFill="1" applyBorder="1" applyAlignment="1">
      <alignment horizontal="center"/>
    </xf>
    <xf numFmtId="167" fontId="3" fillId="6" borderId="25" xfId="0" applyNumberFormat="1" applyFont="1" applyFill="1" applyBorder="1" applyAlignment="1">
      <alignment horizontal="center"/>
    </xf>
    <xf numFmtId="167" fontId="3" fillId="6" borderId="26" xfId="0" applyNumberFormat="1" applyFont="1" applyFill="1" applyBorder="1" applyAlignment="1">
      <alignment horizontal="center"/>
    </xf>
    <xf numFmtId="167" fontId="12" fillId="0" borderId="24" xfId="0" applyNumberFormat="1" applyFont="1" applyBorder="1" applyAlignment="1">
      <alignment horizontal="center"/>
    </xf>
    <xf numFmtId="0" fontId="19" fillId="0" borderId="27" xfId="0" applyFont="1" applyBorder="1" applyAlignment="1">
      <alignment horizontal="center"/>
    </xf>
    <xf numFmtId="0" fontId="3" fillId="3" borderId="28" xfId="0" applyFont="1" applyFill="1" applyBorder="1"/>
    <xf numFmtId="0" fontId="12" fillId="3" borderId="29" xfId="0" applyFont="1" applyFill="1" applyBorder="1" applyAlignment="1">
      <alignment horizontal="center"/>
    </xf>
    <xf numFmtId="0" fontId="12" fillId="3" borderId="30" xfId="0" applyFont="1" applyFill="1" applyBorder="1" applyAlignment="1">
      <alignment horizontal="center"/>
    </xf>
    <xf numFmtId="0" fontId="12" fillId="3" borderId="31" xfId="0" applyFont="1" applyFill="1" applyBorder="1" applyAlignment="1">
      <alignment horizontal="center"/>
    </xf>
    <xf numFmtId="0" fontId="12" fillId="3" borderId="32" xfId="0" applyFont="1" applyFill="1" applyBorder="1" applyAlignment="1">
      <alignment horizontal="center"/>
    </xf>
    <xf numFmtId="0" fontId="4" fillId="4" borderId="29" xfId="0" applyFont="1" applyFill="1" applyBorder="1" applyAlignment="1">
      <alignment horizontal="center"/>
    </xf>
    <xf numFmtId="0" fontId="4" fillId="4" borderId="33" xfId="0" applyFont="1" applyFill="1" applyBorder="1" applyAlignment="1">
      <alignment horizontal="center"/>
    </xf>
    <xf numFmtId="0" fontId="20" fillId="10" borderId="34" xfId="0" applyFont="1" applyFill="1" applyBorder="1" applyAlignment="1">
      <alignment horizontal="left"/>
    </xf>
    <xf numFmtId="0" fontId="20" fillId="6" borderId="16" xfId="0" applyFont="1" applyFill="1" applyBorder="1" applyAlignment="1">
      <alignment horizontal="center"/>
    </xf>
    <xf numFmtId="167" fontId="20" fillId="6" borderId="16" xfId="0" applyNumberFormat="1" applyFont="1" applyFill="1" applyBorder="1" applyAlignment="1">
      <alignment horizontal="center"/>
    </xf>
    <xf numFmtId="167" fontId="20" fillId="6" borderId="17" xfId="0" applyNumberFormat="1" applyFont="1" applyFill="1" applyBorder="1" applyAlignment="1">
      <alignment horizontal="center"/>
    </xf>
    <xf numFmtId="167" fontId="21" fillId="10" borderId="34" xfId="0" applyNumberFormat="1" applyFont="1" applyFill="1" applyBorder="1" applyAlignment="1">
      <alignment horizontal="center"/>
    </xf>
    <xf numFmtId="0" fontId="19" fillId="10" borderId="35" xfId="0" applyFont="1" applyFill="1" applyBorder="1" applyAlignment="1">
      <alignment horizontal="center"/>
    </xf>
    <xf numFmtId="0" fontId="12" fillId="8" borderId="36" xfId="0" applyFont="1" applyFill="1" applyBorder="1"/>
    <xf numFmtId="0" fontId="3" fillId="8" borderId="37" xfId="0" applyFont="1" applyFill="1" applyBorder="1" applyAlignment="1">
      <alignment horizontal="center"/>
    </xf>
    <xf numFmtId="0" fontId="3" fillId="8" borderId="38" xfId="0" applyFont="1" applyFill="1" applyBorder="1" applyAlignment="1">
      <alignment horizontal="center"/>
    </xf>
    <xf numFmtId="0" fontId="3" fillId="8" borderId="39" xfId="0" applyFont="1" applyFill="1" applyBorder="1" applyAlignment="1">
      <alignment horizontal="center"/>
    </xf>
    <xf numFmtId="0" fontId="3" fillId="8" borderId="40" xfId="0" applyFont="1" applyFill="1" applyBorder="1" applyAlignment="1">
      <alignment horizontal="center"/>
    </xf>
    <xf numFmtId="0" fontId="3" fillId="3" borderId="37" xfId="0" applyFont="1" applyFill="1" applyBorder="1"/>
    <xf numFmtId="0" fontId="3" fillId="3" borderId="41" xfId="0" applyFont="1" applyFill="1" applyBorder="1"/>
    <xf numFmtId="0" fontId="3" fillId="0" borderId="42" xfId="0" applyFont="1" applyBorder="1"/>
    <xf numFmtId="0" fontId="3" fillId="6" borderId="43" xfId="0" applyFont="1" applyFill="1" applyBorder="1" applyAlignment="1">
      <alignment horizontal="center"/>
    </xf>
    <xf numFmtId="167" fontId="3" fillId="6" borderId="43" xfId="0" applyNumberFormat="1" applyFont="1" applyFill="1" applyBorder="1" applyAlignment="1">
      <alignment horizontal="center"/>
    </xf>
    <xf numFmtId="167" fontId="3" fillId="6" borderId="44" xfId="0" applyNumberFormat="1" applyFont="1" applyFill="1" applyBorder="1" applyAlignment="1">
      <alignment horizontal="center"/>
    </xf>
    <xf numFmtId="167" fontId="12" fillId="0" borderId="42" xfId="0" applyNumberFormat="1" applyFont="1" applyBorder="1" applyAlignment="1">
      <alignment horizontal="center"/>
    </xf>
    <xf numFmtId="0" fontId="19" fillId="0" borderId="45" xfId="0" applyFont="1" applyBorder="1" applyAlignment="1">
      <alignment horizontal="center"/>
    </xf>
    <xf numFmtId="0" fontId="12" fillId="8" borderId="46" xfId="0" applyFont="1" applyFill="1" applyBorder="1"/>
    <xf numFmtId="1" fontId="3" fillId="8" borderId="47" xfId="0" applyNumberFormat="1" applyFont="1" applyFill="1" applyBorder="1" applyAlignment="1">
      <alignment horizontal="center"/>
    </xf>
    <xf numFmtId="1" fontId="3" fillId="8" borderId="48" xfId="0" applyNumberFormat="1" applyFont="1" applyFill="1" applyBorder="1" applyAlignment="1">
      <alignment horizontal="center"/>
    </xf>
    <xf numFmtId="1" fontId="3" fillId="8" borderId="49" xfId="0" applyNumberFormat="1" applyFont="1" applyFill="1" applyBorder="1" applyAlignment="1">
      <alignment horizontal="center"/>
    </xf>
    <xf numFmtId="1" fontId="3" fillId="8" borderId="50" xfId="0" applyNumberFormat="1" applyFont="1" applyFill="1" applyBorder="1" applyAlignment="1">
      <alignment horizontal="center"/>
    </xf>
    <xf numFmtId="0" fontId="3" fillId="3" borderId="47" xfId="0" applyFont="1" applyFill="1" applyBorder="1"/>
    <xf numFmtId="0" fontId="3" fillId="3" borderId="51" xfId="0" applyFont="1" applyFill="1" applyBorder="1"/>
    <xf numFmtId="0" fontId="12" fillId="3" borderId="23" xfId="0" applyFont="1" applyFill="1" applyBorder="1"/>
    <xf numFmtId="3" fontId="3" fillId="3" borderId="52" xfId="0" applyNumberFormat="1" applyFont="1" applyFill="1" applyBorder="1" applyAlignment="1">
      <alignment horizontal="center"/>
    </xf>
    <xf numFmtId="3" fontId="3" fillId="3" borderId="21" xfId="0" applyNumberFormat="1" applyFont="1" applyFill="1" applyBorder="1" applyAlignment="1">
      <alignment horizontal="center"/>
    </xf>
    <xf numFmtId="3" fontId="3" fillId="3" borderId="53" xfId="0" applyNumberFormat="1" applyFont="1" applyFill="1" applyBorder="1" applyAlignment="1">
      <alignment horizontal="center"/>
    </xf>
    <xf numFmtId="3" fontId="3" fillId="3" borderId="54" xfId="0" applyNumberFormat="1" applyFont="1" applyFill="1" applyBorder="1" applyAlignment="1">
      <alignment horizontal="center"/>
    </xf>
    <xf numFmtId="0" fontId="3" fillId="3" borderId="52" xfId="0" applyFont="1" applyFill="1" applyBorder="1"/>
    <xf numFmtId="0" fontId="3" fillId="3" borderId="55" xfId="0" applyFont="1" applyFill="1" applyBorder="1"/>
    <xf numFmtId="0" fontId="12" fillId="7" borderId="56" xfId="0" applyFont="1" applyFill="1" applyBorder="1"/>
    <xf numFmtId="0" fontId="12" fillId="7" borderId="57" xfId="0" applyFont="1" applyFill="1" applyBorder="1" applyAlignment="1">
      <alignment horizontal="center"/>
    </xf>
    <xf numFmtId="4" fontId="12" fillId="7" borderId="57" xfId="0" applyNumberFormat="1" applyFont="1" applyFill="1" applyBorder="1" applyAlignment="1">
      <alignment horizontal="center"/>
    </xf>
    <xf numFmtId="4" fontId="12" fillId="7" borderId="58" xfId="0" applyNumberFormat="1" applyFont="1" applyFill="1" applyBorder="1" applyAlignment="1">
      <alignment horizontal="center"/>
    </xf>
    <xf numFmtId="4" fontId="12" fillId="7" borderId="56" xfId="0" applyNumberFormat="1" applyFont="1" applyFill="1" applyBorder="1" applyAlignment="1">
      <alignment horizontal="center"/>
    </xf>
    <xf numFmtId="0" fontId="22" fillId="7" borderId="59" xfId="0" applyFont="1" applyFill="1" applyBorder="1" applyAlignment="1">
      <alignment horizontal="center"/>
    </xf>
    <xf numFmtId="0" fontId="12" fillId="7" borderId="36" xfId="0" applyFont="1" applyFill="1" applyBorder="1"/>
    <xf numFmtId="168" fontId="3" fillId="10" borderId="37" xfId="0" applyNumberFormat="1" applyFont="1" applyFill="1" applyBorder="1" applyAlignment="1">
      <alignment horizontal="center"/>
    </xf>
    <xf numFmtId="168" fontId="3" fillId="10" borderId="38" xfId="0" applyNumberFormat="1" applyFont="1" applyFill="1" applyBorder="1" applyAlignment="1">
      <alignment horizontal="center"/>
    </xf>
    <xf numFmtId="168" fontId="3" fillId="10" borderId="39" xfId="0" applyNumberFormat="1" applyFont="1" applyFill="1" applyBorder="1" applyAlignment="1">
      <alignment horizontal="center"/>
    </xf>
    <xf numFmtId="168" fontId="3" fillId="10" borderId="40" xfId="0" applyNumberFormat="1" applyFont="1" applyFill="1" applyBorder="1" applyAlignment="1">
      <alignment horizontal="center"/>
    </xf>
    <xf numFmtId="4" fontId="12" fillId="3" borderId="37" xfId="0" applyNumberFormat="1" applyFont="1" applyFill="1" applyBorder="1" applyAlignment="1">
      <alignment horizontal="center"/>
    </xf>
    <xf numFmtId="4" fontId="3" fillId="3" borderId="37" xfId="0" applyNumberFormat="1" applyFont="1" applyFill="1" applyBorder="1" applyAlignment="1">
      <alignment horizontal="center"/>
    </xf>
    <xf numFmtId="1" fontId="3" fillId="3" borderId="41" xfId="0" applyNumberFormat="1" applyFont="1" applyFill="1" applyBorder="1" applyAlignment="1">
      <alignment horizontal="center"/>
    </xf>
    <xf numFmtId="0" fontId="12" fillId="10" borderId="14" xfId="0" applyFont="1" applyFill="1" applyBorder="1"/>
    <xf numFmtId="168" fontId="3" fillId="11" borderId="60" xfId="0" applyNumberFormat="1" applyFont="1" applyFill="1" applyBorder="1" applyAlignment="1">
      <alignment horizontal="center"/>
    </xf>
    <xf numFmtId="168" fontId="3" fillId="11" borderId="12" xfId="0" applyNumberFormat="1" applyFont="1" applyFill="1" applyBorder="1" applyAlignment="1">
      <alignment horizontal="center"/>
    </xf>
    <xf numFmtId="168" fontId="3" fillId="11" borderId="13" xfId="0" applyNumberFormat="1" applyFont="1" applyFill="1" applyBorder="1" applyAlignment="1">
      <alignment horizontal="center"/>
    </xf>
    <xf numFmtId="168" fontId="3" fillId="11" borderId="61" xfId="0" applyNumberFormat="1" applyFont="1" applyFill="1" applyBorder="1" applyAlignment="1">
      <alignment horizontal="center"/>
    </xf>
    <xf numFmtId="4" fontId="12" fillId="3" borderId="60" xfId="0" applyNumberFormat="1" applyFont="1" applyFill="1" applyBorder="1" applyAlignment="1">
      <alignment horizontal="center"/>
    </xf>
    <xf numFmtId="4" fontId="3" fillId="3" borderId="60" xfId="0" applyNumberFormat="1" applyFont="1" applyFill="1" applyBorder="1" applyAlignment="1">
      <alignment horizontal="center"/>
    </xf>
    <xf numFmtId="1" fontId="3" fillId="3" borderId="62" xfId="0" applyNumberFormat="1" applyFont="1" applyFill="1" applyBorder="1" applyAlignment="1">
      <alignment horizontal="center"/>
    </xf>
    <xf numFmtId="0" fontId="12" fillId="7" borderId="14" xfId="0" applyFont="1" applyFill="1" applyBorder="1"/>
    <xf numFmtId="168" fontId="3" fillId="10" borderId="60" xfId="0" applyNumberFormat="1" applyFont="1" applyFill="1" applyBorder="1" applyAlignment="1">
      <alignment horizontal="center"/>
    </xf>
    <xf numFmtId="168" fontId="3" fillId="10" borderId="12" xfId="0" applyNumberFormat="1" applyFont="1" applyFill="1" applyBorder="1" applyAlignment="1">
      <alignment horizontal="center"/>
    </xf>
    <xf numFmtId="168" fontId="3" fillId="10" borderId="13" xfId="0" applyNumberFormat="1" applyFont="1" applyFill="1" applyBorder="1" applyAlignment="1">
      <alignment horizontal="center"/>
    </xf>
    <xf numFmtId="168" fontId="3" fillId="10" borderId="61" xfId="0" applyNumberFormat="1" applyFont="1" applyFill="1" applyBorder="1" applyAlignment="1">
      <alignment horizontal="center"/>
    </xf>
    <xf numFmtId="0" fontId="12" fillId="7" borderId="23" xfId="0" applyFont="1" applyFill="1" applyBorder="1"/>
    <xf numFmtId="168" fontId="3" fillId="10" borderId="52" xfId="0" applyNumberFormat="1" applyFont="1" applyFill="1" applyBorder="1" applyAlignment="1">
      <alignment horizontal="center"/>
    </xf>
    <xf numFmtId="168" fontId="3" fillId="10" borderId="21" xfId="0" applyNumberFormat="1" applyFont="1" applyFill="1" applyBorder="1" applyAlignment="1">
      <alignment horizontal="center"/>
    </xf>
    <xf numFmtId="168" fontId="3" fillId="10" borderId="53" xfId="0" applyNumberFormat="1" applyFont="1" applyFill="1" applyBorder="1" applyAlignment="1">
      <alignment horizontal="center"/>
    </xf>
    <xf numFmtId="168" fontId="3" fillId="10" borderId="54" xfId="0" applyNumberFormat="1" applyFont="1" applyFill="1" applyBorder="1" applyAlignment="1">
      <alignment horizontal="center"/>
    </xf>
    <xf numFmtId="4" fontId="12" fillId="3" borderId="52" xfId="0" applyNumberFormat="1" applyFont="1" applyFill="1" applyBorder="1" applyAlignment="1">
      <alignment horizontal="center"/>
    </xf>
    <xf numFmtId="4" fontId="3" fillId="3" borderId="52" xfId="0" applyNumberFormat="1" applyFont="1" applyFill="1" applyBorder="1" applyAlignment="1">
      <alignment horizontal="center"/>
    </xf>
    <xf numFmtId="1" fontId="3" fillId="3" borderId="55" xfId="0" applyNumberFormat="1" applyFont="1" applyFill="1" applyBorder="1" applyAlignment="1">
      <alignment horizontal="center"/>
    </xf>
    <xf numFmtId="0" fontId="23" fillId="0" borderId="0" xfId="0" applyFont="1"/>
    <xf numFmtId="0" fontId="24" fillId="0" borderId="0" xfId="0" applyFont="1"/>
    <xf numFmtId="0" fontId="3" fillId="12" borderId="12" xfId="0" applyFont="1" applyFill="1" applyBorder="1" applyAlignment="1">
      <alignment horizontal="center"/>
    </xf>
    <xf numFmtId="0" fontId="3" fillId="12" borderId="13" xfId="0" applyFont="1" applyFill="1" applyBorder="1" applyAlignment="1">
      <alignment horizontal="center"/>
    </xf>
    <xf numFmtId="0" fontId="12" fillId="3" borderId="63" xfId="0" applyFont="1" applyFill="1" applyBorder="1" applyAlignment="1">
      <alignment horizontal="center"/>
    </xf>
    <xf numFmtId="0" fontId="3" fillId="8" borderId="64" xfId="0" applyFont="1" applyFill="1" applyBorder="1" applyAlignment="1">
      <alignment horizontal="center"/>
    </xf>
    <xf numFmtId="1" fontId="3" fillId="8" borderId="65" xfId="0" applyNumberFormat="1" applyFont="1" applyFill="1" applyBorder="1" applyAlignment="1">
      <alignment horizontal="center"/>
    </xf>
    <xf numFmtId="3" fontId="3" fillId="3" borderId="66" xfId="0" applyNumberFormat="1" applyFont="1" applyFill="1" applyBorder="1" applyAlignment="1">
      <alignment horizontal="center"/>
    </xf>
    <xf numFmtId="168" fontId="3" fillId="10" borderId="64" xfId="0" applyNumberFormat="1" applyFont="1" applyFill="1" applyBorder="1" applyAlignment="1">
      <alignment horizontal="center"/>
    </xf>
    <xf numFmtId="168" fontId="3" fillId="11" borderId="67" xfId="0" applyNumberFormat="1" applyFont="1" applyFill="1" applyBorder="1" applyAlignment="1">
      <alignment horizontal="center"/>
    </xf>
    <xf numFmtId="168" fontId="3" fillId="10" borderId="67" xfId="0" applyNumberFormat="1" applyFont="1" applyFill="1" applyBorder="1" applyAlignment="1">
      <alignment horizontal="center"/>
    </xf>
    <xf numFmtId="168" fontId="3" fillId="10" borderId="66" xfId="0" applyNumberFormat="1" applyFont="1" applyFill="1" applyBorder="1" applyAlignment="1">
      <alignment horizontal="center"/>
    </xf>
    <xf numFmtId="0" fontId="3" fillId="0" borderId="0" xfId="0" applyFont="1" applyAlignment="1">
      <alignment horizontal="center"/>
    </xf>
    <xf numFmtId="0" fontId="0" fillId="0" borderId="0" xfId="0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customschemas.google.com/relationships/workbookmetadata" Target="metadata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calcChain" Target="calcChain.xml"/><Relationship Id="rId10" Type="http://schemas.openxmlformats.org/officeDocument/2006/relationships/sharedStrings" Target="sharedStrings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1177" row="2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954DD4E2-D654-4876-9812-44E6B3AF740F}">
  <we:reference id="wa200009404" version="1.0.0.5" store="de-DE" storeType="OMEX"/>
  <we:alternateReferences>
    <we:reference id="wa200009404" version="1.0.0.5" store="wa200009404" storeType="OMEX"/>
  </we:alternateReferences>
  <we:properties>
    <we:property name="Office.AutoShowTaskpaneWithDocument" value="true"/>
  </we:properties>
  <we:bindings/>
  <we:snapshot xmlns:r="http://schemas.openxmlformats.org/officeDocument/2006/relationships"/>
</we:webextension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AT1000"/>
  <sheetViews>
    <sheetView workbookViewId="0">
      <pane ySplit="10" topLeftCell="A11" activePane="bottomLeft" state="frozen"/>
      <selection pane="bottomLeft" activeCell="B12" sqref="B12"/>
    </sheetView>
  </sheetViews>
  <sheetFormatPr baseColWidth="10" defaultColWidth="12.6328125" defaultRowHeight="15" customHeight="1" x14ac:dyDescent="0.35"/>
  <cols>
    <col min="1" max="1" width="9.36328125" customWidth="1"/>
    <col min="2" max="2" width="11" customWidth="1"/>
    <col min="3" max="3" width="9.36328125" customWidth="1"/>
    <col min="4" max="8" width="11.7265625" customWidth="1"/>
    <col min="9" max="9" width="2.7265625" customWidth="1"/>
    <col min="10" max="10" width="8" customWidth="1"/>
    <col min="11" max="11" width="2.7265625" customWidth="1"/>
    <col min="12" max="12" width="8.7265625" customWidth="1"/>
    <col min="13" max="13" width="3.08984375" customWidth="1"/>
    <col min="14" max="14" width="7.7265625" customWidth="1"/>
    <col min="15" max="15" width="3.90625" customWidth="1"/>
    <col min="16" max="16" width="6.7265625" customWidth="1"/>
    <col min="17" max="17" width="3.6328125" customWidth="1"/>
    <col min="18" max="18" width="7.36328125" customWidth="1"/>
    <col min="19" max="19" width="3.90625" customWidth="1"/>
    <col min="20" max="20" width="6.453125" customWidth="1"/>
    <col min="21" max="21" width="4" customWidth="1"/>
    <col min="22" max="22" width="7.08984375" customWidth="1"/>
    <col min="23" max="23" width="4" customWidth="1"/>
    <col min="24" max="24" width="8.90625" customWidth="1"/>
    <col min="25" max="25" width="4.08984375" customWidth="1"/>
    <col min="26" max="26" width="7.36328125" customWidth="1"/>
    <col min="27" max="27" width="4.08984375" customWidth="1"/>
    <col min="28" max="28" width="7.90625" customWidth="1"/>
    <col min="29" max="29" width="4.08984375" customWidth="1"/>
    <col min="30" max="30" width="6.26953125" customWidth="1"/>
    <col min="31" max="32" width="9.36328125" customWidth="1"/>
    <col min="33" max="33" width="12.08984375" customWidth="1"/>
    <col min="34" max="34" width="14" customWidth="1"/>
    <col min="35" max="35" width="13.08984375" customWidth="1"/>
    <col min="36" max="36" width="14.36328125" customWidth="1"/>
    <col min="37" max="37" width="11.90625" customWidth="1"/>
    <col min="38" max="38" width="15.453125" customWidth="1"/>
    <col min="39" max="39" width="13" customWidth="1"/>
    <col min="40" max="41" width="9.36328125" customWidth="1"/>
    <col min="42" max="46" width="13.453125" customWidth="1"/>
  </cols>
  <sheetData>
    <row r="1" spans="2:44" ht="14.25" customHeight="1" x14ac:dyDescent="0.7">
      <c r="B1" s="1" t="s">
        <v>0</v>
      </c>
      <c r="AG1" s="2" t="s">
        <v>1</v>
      </c>
      <c r="AH1" s="3"/>
      <c r="AJ1" s="3"/>
      <c r="AK1" s="3"/>
      <c r="AL1" s="3"/>
      <c r="AP1" s="4" t="s">
        <v>2</v>
      </c>
      <c r="AQ1" s="5"/>
      <c r="AR1" s="5"/>
    </row>
    <row r="2" spans="2:44" ht="14.25" customHeight="1" x14ac:dyDescent="0.35">
      <c r="AG2" s="2" t="s">
        <v>3</v>
      </c>
      <c r="AH2" s="3" t="s">
        <v>4</v>
      </c>
      <c r="AI2" s="2" t="s">
        <v>5</v>
      </c>
      <c r="AJ2" s="6" t="s">
        <v>6</v>
      </c>
      <c r="AK2" s="3" t="s">
        <v>7</v>
      </c>
      <c r="AL2" s="6" t="s">
        <v>8</v>
      </c>
      <c r="AM2" s="2" t="s">
        <v>9</v>
      </c>
      <c r="AP2" s="7" t="s">
        <v>10</v>
      </c>
      <c r="AQ2" s="8" t="s">
        <v>11</v>
      </c>
      <c r="AR2" s="7" t="s">
        <v>12</v>
      </c>
    </row>
    <row r="3" spans="2:44" ht="14.25" customHeight="1" x14ac:dyDescent="0.35">
      <c r="B3" s="2" t="s">
        <v>13</v>
      </c>
      <c r="AG3" s="9">
        <v>6</v>
      </c>
      <c r="AH3" s="10">
        <v>50</v>
      </c>
      <c r="AI3" s="9">
        <v>20</v>
      </c>
      <c r="AJ3" s="11">
        <v>10</v>
      </c>
      <c r="AK3" s="10"/>
      <c r="AL3" s="11"/>
      <c r="AM3" s="9"/>
      <c r="AP3" s="12" t="s">
        <v>14</v>
      </c>
      <c r="AQ3" s="13">
        <v>70</v>
      </c>
      <c r="AR3" s="14" t="s">
        <v>15</v>
      </c>
    </row>
    <row r="4" spans="2:44" ht="14.25" customHeight="1" x14ac:dyDescent="0.35">
      <c r="AG4" s="9">
        <v>7</v>
      </c>
      <c r="AH4" s="10">
        <v>60</v>
      </c>
      <c r="AI4" s="9">
        <v>20</v>
      </c>
      <c r="AJ4" s="11">
        <v>10</v>
      </c>
      <c r="AK4" s="10"/>
      <c r="AL4" s="11"/>
      <c r="AM4" s="9"/>
      <c r="AP4" s="12" t="s">
        <v>16</v>
      </c>
      <c r="AQ4" s="13">
        <v>50</v>
      </c>
      <c r="AR4" s="14" t="s">
        <v>17</v>
      </c>
    </row>
    <row r="5" spans="2:44" ht="14.25" customHeight="1" x14ac:dyDescent="0.35">
      <c r="B5" s="2" t="s">
        <v>18</v>
      </c>
      <c r="C5" s="2">
        <v>0.25</v>
      </c>
      <c r="D5" s="2" t="s">
        <v>19</v>
      </c>
      <c r="AG5" s="9">
        <v>8</v>
      </c>
      <c r="AH5" s="10">
        <v>50</v>
      </c>
      <c r="AI5" s="9">
        <v>40</v>
      </c>
      <c r="AJ5" s="11">
        <v>30</v>
      </c>
      <c r="AK5" s="10">
        <v>20</v>
      </c>
      <c r="AL5" s="11"/>
      <c r="AM5" s="9"/>
      <c r="AP5" s="12" t="s">
        <v>20</v>
      </c>
      <c r="AQ5" s="13">
        <v>50</v>
      </c>
      <c r="AR5" s="14" t="s">
        <v>21</v>
      </c>
    </row>
    <row r="6" spans="2:44" ht="14.25" customHeight="1" x14ac:dyDescent="0.35">
      <c r="B6" s="2" t="s">
        <v>5</v>
      </c>
      <c r="C6" s="2">
        <v>0.125</v>
      </c>
      <c r="D6" s="2" t="s">
        <v>19</v>
      </c>
      <c r="AG6" s="9">
        <v>9</v>
      </c>
      <c r="AH6" s="10">
        <v>60</v>
      </c>
      <c r="AI6" s="9">
        <v>40</v>
      </c>
      <c r="AJ6" s="11">
        <v>30</v>
      </c>
      <c r="AK6" s="10">
        <v>20</v>
      </c>
      <c r="AL6" s="11"/>
      <c r="AM6" s="9"/>
      <c r="AP6" s="12" t="s">
        <v>22</v>
      </c>
      <c r="AQ6" s="13">
        <v>50</v>
      </c>
      <c r="AR6" s="14" t="s">
        <v>17</v>
      </c>
    </row>
    <row r="7" spans="2:44" ht="14.25" customHeight="1" x14ac:dyDescent="0.35">
      <c r="B7" s="2" t="s">
        <v>23</v>
      </c>
      <c r="C7" s="2">
        <f>0.25/3</f>
        <v>8.3333333333333329E-2</v>
      </c>
      <c r="D7" s="2" t="s">
        <v>19</v>
      </c>
      <c r="E7" s="2" t="s">
        <v>24</v>
      </c>
      <c r="J7" s="2" t="s">
        <v>16</v>
      </c>
      <c r="L7" s="2" t="s">
        <v>14</v>
      </c>
      <c r="N7" s="2" t="s">
        <v>20</v>
      </c>
      <c r="P7" s="2" t="s">
        <v>25</v>
      </c>
      <c r="R7" s="2" t="s">
        <v>26</v>
      </c>
      <c r="T7" s="2" t="s">
        <v>27</v>
      </c>
      <c r="V7" s="2" t="s">
        <v>28</v>
      </c>
      <c r="X7" s="2" t="s">
        <v>29</v>
      </c>
      <c r="Z7" s="2" t="s">
        <v>30</v>
      </c>
      <c r="AB7" s="2" t="s">
        <v>22</v>
      </c>
      <c r="AD7" s="2" t="s">
        <v>31</v>
      </c>
      <c r="AG7" s="9">
        <v>10</v>
      </c>
      <c r="AH7" s="10">
        <v>60</v>
      </c>
      <c r="AI7" s="9">
        <v>40</v>
      </c>
      <c r="AJ7" s="11">
        <v>30</v>
      </c>
      <c r="AK7" s="10">
        <v>20</v>
      </c>
      <c r="AL7" s="11">
        <v>20</v>
      </c>
      <c r="AM7" s="9">
        <v>20</v>
      </c>
      <c r="AP7" s="12" t="s">
        <v>26</v>
      </c>
      <c r="AQ7" s="13">
        <v>20</v>
      </c>
      <c r="AR7" s="14" t="s">
        <v>32</v>
      </c>
    </row>
    <row r="8" spans="2:44" ht="14.25" customHeight="1" x14ac:dyDescent="0.45">
      <c r="B8" s="2" t="s">
        <v>9</v>
      </c>
      <c r="C8" s="2">
        <f>0.25/4</f>
        <v>6.25E-2</v>
      </c>
      <c r="D8" s="2" t="s">
        <v>19</v>
      </c>
      <c r="E8" s="2" t="s">
        <v>33</v>
      </c>
      <c r="F8" s="15" t="s">
        <v>34</v>
      </c>
      <c r="J8" s="16">
        <f>J21+J31+J41+J51+J63+J73+J83+J93+J105+J115</f>
        <v>14.159722222222221</v>
      </c>
      <c r="L8" s="16">
        <f>L21+L31+L41+L51+L63+L73+L83+L93+L105+L115</f>
        <v>17.375</v>
      </c>
      <c r="N8" s="16">
        <f>N21+N31+N41+N51+N63+N73+N83+N93+N105+N115</f>
        <v>9.625</v>
      </c>
      <c r="P8" s="16">
        <f>P21+P31+P41+P51+P63+P73+P83+P93+P105+P115</f>
        <v>14.763888888888889</v>
      </c>
      <c r="R8" s="16">
        <f>R21+R31+R41+R51+R63+R73+R83+R93+R105+R115</f>
        <v>6.0625</v>
      </c>
      <c r="T8" s="16">
        <f>T21+T31+T41+T51+T63+T73+T83+T93+T105+T115</f>
        <v>3.208333333333333</v>
      </c>
      <c r="V8" s="16">
        <f>V21+V31+V41+V51+V63+V73+V83+V93+V105+V115</f>
        <v>6.75</v>
      </c>
      <c r="X8" s="16">
        <f>X21+X31+X41+X51+X63+X73+X83+X93+X105+X115</f>
        <v>9.2222222222222214</v>
      </c>
      <c r="Z8" s="16">
        <f>Z21+Z31+Z41+Z51+Z63+Z73+Z83+Z93+Z105+Z115</f>
        <v>0</v>
      </c>
      <c r="AB8" s="16">
        <f>AB21+AB31+AB41+AB51+AB63+AB73+AB83+AB93+AB105+AB115</f>
        <v>17.541666666666668</v>
      </c>
      <c r="AD8" s="16">
        <f>AD21+AD31+AD41+AD51+AD63+AD73+AD83+AD93+AD105+AD115</f>
        <v>5.25</v>
      </c>
      <c r="AG8" s="9">
        <v>11</v>
      </c>
      <c r="AH8" s="10">
        <v>60</v>
      </c>
      <c r="AI8" s="9">
        <v>40</v>
      </c>
      <c r="AJ8" s="11">
        <v>30</v>
      </c>
      <c r="AK8" s="10">
        <v>20</v>
      </c>
      <c r="AL8" s="11">
        <v>20</v>
      </c>
      <c r="AM8" s="9">
        <v>20</v>
      </c>
      <c r="AP8" s="17" t="s">
        <v>35</v>
      </c>
      <c r="AQ8" s="18">
        <v>240</v>
      </c>
      <c r="AR8" s="19" t="s">
        <v>36</v>
      </c>
    </row>
    <row r="9" spans="2:44" ht="17.25" customHeight="1" x14ac:dyDescent="0.45">
      <c r="F9" s="15" t="s">
        <v>37</v>
      </c>
      <c r="J9" s="16">
        <f>I14+I24+I34+I44+I54+I66+I76+I86+I96+I108</f>
        <v>9</v>
      </c>
      <c r="L9" s="16">
        <f>K14+K24+K34+K44+K54+K66+K76+K86+K96+K108</f>
        <v>10</v>
      </c>
      <c r="N9" s="16">
        <f>M14+M24+M34+M44+M54+M66+M76+M86+M96+M108</f>
        <v>8</v>
      </c>
      <c r="P9" s="16">
        <f>O14+O24+O34+O44+O54+O66+O76+O86+O96+O108</f>
        <v>9</v>
      </c>
      <c r="R9" s="16">
        <f>Q14+Q24+Q34+Q44+Q54+Q66+Q76+Q86+Q96+Q108</f>
        <v>6</v>
      </c>
      <c r="T9" s="16">
        <f>S14+S24+S34+S44+S54+S66+S76+S86+S96+S108</f>
        <v>6</v>
      </c>
      <c r="V9" s="16">
        <f>U14+U24+U34+U44+U54+U66+U76+U86+U96+U108</f>
        <v>4</v>
      </c>
      <c r="X9" s="16">
        <f>W14+W24+W34+W44+W54+W66+W76+W86+W96+W108</f>
        <v>8</v>
      </c>
      <c r="Z9" s="16">
        <f>Y14+Y24+Y34+Y44+Y54+Y66+Y76+Y86+Y96+Y108</f>
        <v>0</v>
      </c>
      <c r="AB9" s="16">
        <f>AA14+AA24+AA34+AA44+AA54+AA66+AA76+AA86+AA96+AA108</f>
        <v>10</v>
      </c>
      <c r="AD9" s="16">
        <f>AC14+AC24+AC34+AC44+AC54+AC66+AC76+AC86+AC96+AC108</f>
        <v>4</v>
      </c>
      <c r="AH9" s="3"/>
      <c r="AJ9" s="3"/>
      <c r="AK9" s="3"/>
      <c r="AL9" s="3"/>
    </row>
    <row r="10" spans="2:44" ht="14.25" customHeight="1" x14ac:dyDescent="0.45">
      <c r="F10" s="15" t="s">
        <v>38</v>
      </c>
      <c r="J10" s="16">
        <f>J8/J9</f>
        <v>1.5733024691358024</v>
      </c>
      <c r="L10" s="16">
        <f>L8/L9</f>
        <v>1.7375</v>
      </c>
      <c r="N10" s="16">
        <f>N8/N9</f>
        <v>1.203125</v>
      </c>
      <c r="P10" s="16">
        <f>P8/P9</f>
        <v>1.6404320987654322</v>
      </c>
      <c r="R10" s="16">
        <f>R8/R9</f>
        <v>1.0104166666666667</v>
      </c>
      <c r="T10" s="16">
        <f>T8/T9</f>
        <v>0.53472222222222221</v>
      </c>
      <c r="V10" s="16">
        <f>V8/V9</f>
        <v>1.6875</v>
      </c>
      <c r="X10" s="16">
        <f>X8/X9</f>
        <v>1.1527777777777777</v>
      </c>
      <c r="Z10" s="16" t="e">
        <f>Z8/Z9</f>
        <v>#DIV/0!</v>
      </c>
      <c r="AB10" s="16">
        <f>AB8/AB9</f>
        <v>1.7541666666666669</v>
      </c>
      <c r="AD10" s="16">
        <f>AD8/AD9</f>
        <v>1.3125</v>
      </c>
      <c r="AH10" s="3"/>
      <c r="AJ10" s="3"/>
      <c r="AK10" s="3"/>
      <c r="AL10" s="3"/>
      <c r="AP10" s="4" t="s">
        <v>39</v>
      </c>
      <c r="AQ10" s="5"/>
      <c r="AR10" s="5"/>
    </row>
    <row r="11" spans="2:44" ht="14.25" customHeight="1" x14ac:dyDescent="0.35">
      <c r="AH11" s="3"/>
      <c r="AJ11" s="3"/>
      <c r="AK11" s="3"/>
      <c r="AL11" s="3"/>
      <c r="AP11" s="7" t="s">
        <v>10</v>
      </c>
      <c r="AQ11" s="8" t="s">
        <v>11</v>
      </c>
      <c r="AR11" s="20" t="s">
        <v>12</v>
      </c>
    </row>
    <row r="12" spans="2:44" ht="14.25" customHeight="1" x14ac:dyDescent="0.45">
      <c r="D12" s="21">
        <v>2025</v>
      </c>
      <c r="AH12" s="3"/>
      <c r="AJ12" s="3"/>
      <c r="AK12" s="3"/>
      <c r="AL12" s="3"/>
      <c r="AP12" s="12" t="s">
        <v>16</v>
      </c>
      <c r="AQ12" s="13">
        <v>120</v>
      </c>
      <c r="AR12" s="14" t="s">
        <v>40</v>
      </c>
    </row>
    <row r="13" spans="2:44" ht="14.25" customHeight="1" x14ac:dyDescent="0.35">
      <c r="I13" s="160" t="s">
        <v>16</v>
      </c>
      <c r="J13" s="161"/>
      <c r="K13" s="160" t="s">
        <v>14</v>
      </c>
      <c r="L13" s="161"/>
      <c r="M13" s="160" t="s">
        <v>20</v>
      </c>
      <c r="N13" s="161"/>
      <c r="O13" s="160" t="s">
        <v>25</v>
      </c>
      <c r="P13" s="161"/>
      <c r="Q13" s="160" t="s">
        <v>26</v>
      </c>
      <c r="R13" s="161"/>
      <c r="S13" s="160" t="s">
        <v>27</v>
      </c>
      <c r="T13" s="161"/>
      <c r="U13" s="160" t="s">
        <v>28</v>
      </c>
      <c r="V13" s="161"/>
      <c r="W13" s="160" t="s">
        <v>41</v>
      </c>
      <c r="X13" s="161"/>
      <c r="Y13" s="160" t="s">
        <v>30</v>
      </c>
      <c r="Z13" s="161"/>
      <c r="AA13" s="160" t="s">
        <v>22</v>
      </c>
      <c r="AB13" s="161"/>
      <c r="AC13" s="160"/>
      <c r="AD13" s="161"/>
      <c r="AE13" s="22" t="s">
        <v>42</v>
      </c>
      <c r="AH13" s="3"/>
      <c r="AJ13" s="3"/>
      <c r="AK13" s="3"/>
      <c r="AL13" s="3"/>
      <c r="AP13" s="12" t="s">
        <v>20</v>
      </c>
      <c r="AQ13" s="13">
        <v>120</v>
      </c>
      <c r="AR13" s="14" t="s">
        <v>40</v>
      </c>
    </row>
    <row r="14" spans="2:44" ht="14.25" customHeight="1" x14ac:dyDescent="0.35">
      <c r="D14" s="2" t="s">
        <v>43</v>
      </c>
      <c r="E14" s="2" t="s">
        <v>44</v>
      </c>
      <c r="I14" s="160">
        <v>1</v>
      </c>
      <c r="J14" s="161"/>
      <c r="K14" s="160">
        <v>1</v>
      </c>
      <c r="L14" s="161"/>
      <c r="M14" s="160">
        <v>1</v>
      </c>
      <c r="N14" s="161"/>
      <c r="O14" s="160">
        <v>1</v>
      </c>
      <c r="P14" s="161"/>
      <c r="Q14" s="160">
        <v>1</v>
      </c>
      <c r="R14" s="161"/>
      <c r="S14" s="160"/>
      <c r="T14" s="161"/>
      <c r="U14" s="160"/>
      <c r="V14" s="161"/>
      <c r="W14" s="160"/>
      <c r="X14" s="161"/>
      <c r="Y14" s="160"/>
      <c r="Z14" s="161"/>
      <c r="AA14" s="160">
        <v>1</v>
      </c>
      <c r="AB14" s="161"/>
      <c r="AC14" s="160"/>
      <c r="AD14" s="161"/>
      <c r="AE14" s="22">
        <f>SUM(I14:AB14)</f>
        <v>6</v>
      </c>
      <c r="AH14" s="3"/>
      <c r="AJ14" s="3"/>
      <c r="AK14" s="3"/>
      <c r="AL14" s="3"/>
      <c r="AP14" s="12" t="s">
        <v>25</v>
      </c>
      <c r="AQ14" s="13">
        <v>20</v>
      </c>
      <c r="AR14" s="14" t="s">
        <v>45</v>
      </c>
    </row>
    <row r="15" spans="2:44" ht="14.25" customHeight="1" x14ac:dyDescent="0.35">
      <c r="E15" s="2" t="s">
        <v>46</v>
      </c>
      <c r="F15" s="2" t="s">
        <v>47</v>
      </c>
      <c r="I15" s="2">
        <v>1</v>
      </c>
      <c r="J15" s="23">
        <f>I15*$C$5*$AE$14</f>
        <v>1.5</v>
      </c>
      <c r="L15" s="23">
        <f>K15*$C$5*$AE$14</f>
        <v>0</v>
      </c>
      <c r="N15" s="23">
        <f>M15*$C$5*$AE$14</f>
        <v>0</v>
      </c>
      <c r="P15" s="23">
        <f>O15*$C$5*$AE$14</f>
        <v>0</v>
      </c>
      <c r="R15" s="23">
        <f>Q15*$C$5*$AE$14</f>
        <v>0</v>
      </c>
      <c r="T15" s="23">
        <f>S15*$C$5*$AE$14</f>
        <v>0</v>
      </c>
      <c r="V15" s="23">
        <f>U15*$C$5*$AE$14</f>
        <v>0</v>
      </c>
      <c r="X15" s="23">
        <f>W15*$C$5*$AE$14</f>
        <v>0</v>
      </c>
      <c r="Z15" s="23">
        <f>Y15*$C$5*$AE$14</f>
        <v>0</v>
      </c>
      <c r="AA15" s="2">
        <v>1</v>
      </c>
      <c r="AB15" s="23">
        <f>AA15*$C$5*$AE$14</f>
        <v>1.5</v>
      </c>
      <c r="AD15" s="23">
        <f>AC15*$C$5*$AE$14</f>
        <v>0</v>
      </c>
      <c r="AH15" s="3"/>
      <c r="AJ15" s="3"/>
      <c r="AK15" s="3"/>
      <c r="AL15" s="3"/>
      <c r="AP15" s="12" t="s">
        <v>22</v>
      </c>
      <c r="AQ15" s="13">
        <v>20</v>
      </c>
      <c r="AR15" s="14" t="s">
        <v>32</v>
      </c>
    </row>
    <row r="16" spans="2:44" ht="14.25" customHeight="1" x14ac:dyDescent="0.35">
      <c r="F16" s="2" t="s">
        <v>5</v>
      </c>
      <c r="J16" s="23">
        <f>I16*$C$6*$AE$14</f>
        <v>0</v>
      </c>
      <c r="K16" s="2">
        <v>1</v>
      </c>
      <c r="L16" s="23">
        <f>K16*$C$6*$AE$14</f>
        <v>0.75</v>
      </c>
      <c r="N16" s="23">
        <f>M16*$C$6*$AE$14</f>
        <v>0</v>
      </c>
      <c r="P16" s="23">
        <f>O16*$C$6*$AE$14</f>
        <v>0</v>
      </c>
      <c r="R16" s="23">
        <f>Q16*$C$6*$AE$14</f>
        <v>0</v>
      </c>
      <c r="T16" s="23">
        <f>S16*$C$6*$AE$14</f>
        <v>0</v>
      </c>
      <c r="V16" s="23">
        <f>U16*$C$6*$AE$14</f>
        <v>0</v>
      </c>
      <c r="X16" s="23">
        <f>W16*$C$6*$AE$14</f>
        <v>0</v>
      </c>
      <c r="Z16" s="23">
        <f>Y16*$C$6*$AE$14</f>
        <v>0</v>
      </c>
      <c r="AB16" s="23">
        <f>AA16*$C$6*$AE$14</f>
        <v>0</v>
      </c>
      <c r="AD16" s="23">
        <f>AC16*$C$6*$AE$14</f>
        <v>0</v>
      </c>
      <c r="AH16" s="3"/>
      <c r="AJ16" s="3"/>
      <c r="AK16" s="3"/>
      <c r="AL16" s="3"/>
      <c r="AP16" s="12" t="s">
        <v>14</v>
      </c>
      <c r="AQ16" s="13">
        <v>0</v>
      </c>
      <c r="AR16" s="14"/>
    </row>
    <row r="17" spans="4:44" ht="14.25" customHeight="1" x14ac:dyDescent="0.35">
      <c r="F17" s="2" t="s">
        <v>23</v>
      </c>
      <c r="J17" s="23">
        <f>I17*$C$7*$AE$14</f>
        <v>0</v>
      </c>
      <c r="L17" s="23">
        <f>K17*$C$7*$AE$14</f>
        <v>0</v>
      </c>
      <c r="N17" s="23">
        <f>M17*$C$7*$AE$14</f>
        <v>0</v>
      </c>
      <c r="P17" s="23">
        <f>O17*$C$7*$AE$14</f>
        <v>0</v>
      </c>
      <c r="R17" s="23">
        <f>Q17*$C$7*$AE$14</f>
        <v>0</v>
      </c>
      <c r="T17" s="23">
        <f>S17*$C$7*$AE$14</f>
        <v>0</v>
      </c>
      <c r="V17" s="23">
        <f>U17*$C$7*$AE$14</f>
        <v>0</v>
      </c>
      <c r="X17" s="23">
        <f>W17*$C$7*$AE$14</f>
        <v>0</v>
      </c>
      <c r="Z17" s="23">
        <f>Y17*$C$7*$AE$14</f>
        <v>0</v>
      </c>
      <c r="AB17" s="23">
        <f>AA17*$C$7*$AE$14</f>
        <v>0</v>
      </c>
      <c r="AD17" s="23">
        <f>AC17*$C$7*$AE$14</f>
        <v>0</v>
      </c>
      <c r="AH17" s="3"/>
      <c r="AJ17" s="3"/>
      <c r="AK17" s="3"/>
      <c r="AL17" s="3"/>
      <c r="AP17" s="17" t="s">
        <v>35</v>
      </c>
      <c r="AQ17" s="18">
        <v>280</v>
      </c>
      <c r="AR17" s="19" t="s">
        <v>48</v>
      </c>
    </row>
    <row r="18" spans="4:44" ht="14.25" customHeight="1" x14ac:dyDescent="0.35">
      <c r="E18" s="2" t="s">
        <v>49</v>
      </c>
      <c r="F18" s="2" t="s">
        <v>47</v>
      </c>
      <c r="J18" s="23">
        <f>I18*$C$5*$AE$14</f>
        <v>0</v>
      </c>
      <c r="K18" s="2">
        <v>1</v>
      </c>
      <c r="L18" s="23">
        <f>K18*$C$5*$AE$14</f>
        <v>1.5</v>
      </c>
      <c r="M18" s="2">
        <v>1</v>
      </c>
      <c r="N18" s="23">
        <f>M18*$C$5*$AE$14</f>
        <v>1.5</v>
      </c>
      <c r="P18" s="23">
        <f>O18*$C$5*$AE$14</f>
        <v>0</v>
      </c>
      <c r="R18" s="23">
        <f>Q18*$C$5*$AE$14</f>
        <v>0</v>
      </c>
      <c r="T18" s="23">
        <f>S18*$C$5*$AE$14</f>
        <v>0</v>
      </c>
      <c r="V18" s="23">
        <f>U18*$C$5*$AE$14</f>
        <v>0</v>
      </c>
      <c r="X18" s="23">
        <f>W18*$C$5*$AE$14</f>
        <v>0</v>
      </c>
      <c r="Z18" s="23">
        <f>Y18*$C$5*$AE$14</f>
        <v>0</v>
      </c>
      <c r="AB18" s="23">
        <f>AA18*$C$5*$AE$14</f>
        <v>0</v>
      </c>
      <c r="AD18" s="23">
        <f>AC18*$C$5*$AE$14</f>
        <v>0</v>
      </c>
      <c r="AH18" s="3"/>
      <c r="AJ18" s="3"/>
      <c r="AK18" s="3"/>
      <c r="AL18" s="3"/>
    </row>
    <row r="19" spans="4:44" ht="14.25" customHeight="1" x14ac:dyDescent="0.35">
      <c r="F19" s="2" t="s">
        <v>5</v>
      </c>
      <c r="J19" s="23">
        <f>I19*$C$6*$AE$14</f>
        <v>0</v>
      </c>
      <c r="L19" s="23">
        <f>K19*$C$6*$AE$14</f>
        <v>0</v>
      </c>
      <c r="N19" s="23">
        <f>M19*$C$6*$AE$14</f>
        <v>0</v>
      </c>
      <c r="P19" s="23">
        <f>O19*$C$6*$AE$14</f>
        <v>0</v>
      </c>
      <c r="Q19" s="2">
        <v>1</v>
      </c>
      <c r="R19" s="23">
        <f>Q19*$C$6*$AE$14</f>
        <v>0.75</v>
      </c>
      <c r="T19" s="23">
        <f>S19*$C$6*$AE$14</f>
        <v>0</v>
      </c>
      <c r="V19" s="23">
        <f>U19*$C$6*$AE$14</f>
        <v>0</v>
      </c>
      <c r="X19" s="23">
        <f>W19*$C$6*$AE$14</f>
        <v>0</v>
      </c>
      <c r="Z19" s="23">
        <f>Y19*$C$6*$AE$14</f>
        <v>0</v>
      </c>
      <c r="AB19" s="23">
        <f>AA19*$C$6*$AE$14</f>
        <v>0</v>
      </c>
      <c r="AD19" s="23">
        <f>AC19*$C$6*$AE$14</f>
        <v>0</v>
      </c>
      <c r="AH19" s="3"/>
      <c r="AJ19" s="3"/>
      <c r="AK19" s="3"/>
      <c r="AL19" s="3"/>
      <c r="AP19" s="4" t="s">
        <v>50</v>
      </c>
      <c r="AQ19" s="5"/>
      <c r="AR19" s="5"/>
    </row>
    <row r="20" spans="4:44" ht="14.25" customHeight="1" x14ac:dyDescent="0.35">
      <c r="F20" s="2" t="s">
        <v>23</v>
      </c>
      <c r="J20" s="23">
        <f>I20*$C$7*$AE$14</f>
        <v>0</v>
      </c>
      <c r="L20" s="23">
        <f>K20*$C$7*$AE$14</f>
        <v>0</v>
      </c>
      <c r="N20" s="23">
        <f>M20*$C$7*$AE$14</f>
        <v>0</v>
      </c>
      <c r="P20" s="23">
        <f>O20*$C$7*$AE$14</f>
        <v>0</v>
      </c>
      <c r="R20" s="23">
        <f>Q20*$C$7*$AE$14</f>
        <v>0</v>
      </c>
      <c r="T20" s="23">
        <f>S20*$C$7*$AE$14</f>
        <v>0</v>
      </c>
      <c r="V20" s="23">
        <f>U20*$C$7*$AE$14</f>
        <v>0</v>
      </c>
      <c r="X20" s="23">
        <f>W20*$C$7*$AE$14</f>
        <v>0</v>
      </c>
      <c r="Z20" s="23">
        <f>Y20*$C$7*$AE$14</f>
        <v>0</v>
      </c>
      <c r="AB20" s="23">
        <f>AA20*$C$7*$AE$14</f>
        <v>0</v>
      </c>
      <c r="AD20" s="23">
        <f>AC20*$C$7*$AE$14</f>
        <v>0</v>
      </c>
      <c r="AH20" s="3"/>
      <c r="AJ20" s="3"/>
      <c r="AK20" s="3"/>
      <c r="AL20" s="3"/>
      <c r="AP20" s="7" t="s">
        <v>10</v>
      </c>
      <c r="AQ20" s="8" t="s">
        <v>11</v>
      </c>
      <c r="AR20" s="7" t="s">
        <v>12</v>
      </c>
    </row>
    <row r="21" spans="4:44" ht="14.25" customHeight="1" x14ac:dyDescent="0.45">
      <c r="F21" s="15" t="s">
        <v>51</v>
      </c>
      <c r="J21" s="24">
        <f>SUM(J15:J20)</f>
        <v>1.5</v>
      </c>
      <c r="L21" s="24">
        <f>SUM(L15:L20)</f>
        <v>2.25</v>
      </c>
      <c r="M21" s="25"/>
      <c r="N21" s="24">
        <f>SUM(N15:N20)</f>
        <v>1.5</v>
      </c>
      <c r="O21" s="25"/>
      <c r="P21" s="24">
        <f>SUM(P15:P20)</f>
        <v>0</v>
      </c>
      <c r="Q21" s="25"/>
      <c r="R21" s="24">
        <f>SUM(R15:R20)</f>
        <v>0.75</v>
      </c>
      <c r="S21" s="25"/>
      <c r="T21" s="24">
        <f>SUM(T15:T20)</f>
        <v>0</v>
      </c>
      <c r="U21" s="25"/>
      <c r="V21" s="24">
        <f>SUM(V15:V20)</f>
        <v>0</v>
      </c>
      <c r="W21" s="25"/>
      <c r="X21" s="24">
        <f>SUM(X15:X20)</f>
        <v>0</v>
      </c>
      <c r="Y21" s="25"/>
      <c r="Z21" s="24">
        <f>SUM(Z15:Z20)</f>
        <v>0</v>
      </c>
      <c r="AA21" s="25"/>
      <c r="AB21" s="24">
        <f>SUM(AB15:AB20)</f>
        <v>1.5</v>
      </c>
      <c r="AC21" s="25"/>
      <c r="AD21" s="24">
        <f>SUM(AD15:AD20)</f>
        <v>0</v>
      </c>
      <c r="AH21" s="3"/>
      <c r="AJ21" s="3"/>
      <c r="AK21" s="3"/>
      <c r="AL21" s="3"/>
      <c r="AP21" s="12" t="s">
        <v>26</v>
      </c>
      <c r="AQ21" s="13">
        <v>110</v>
      </c>
      <c r="AR21" s="14" t="s">
        <v>52</v>
      </c>
    </row>
    <row r="22" spans="4:44" ht="14.25" customHeight="1" x14ac:dyDescent="0.35">
      <c r="AH22" s="3"/>
      <c r="AJ22" s="3"/>
      <c r="AK22" s="3"/>
      <c r="AL22" s="3"/>
      <c r="AP22" s="12" t="s">
        <v>22</v>
      </c>
      <c r="AQ22" s="13">
        <v>70</v>
      </c>
      <c r="AR22" s="14" t="s">
        <v>53</v>
      </c>
    </row>
    <row r="23" spans="4:44" ht="14.25" customHeight="1" x14ac:dyDescent="0.35">
      <c r="I23" s="160" t="s">
        <v>16</v>
      </c>
      <c r="J23" s="161"/>
      <c r="K23" s="160" t="s">
        <v>14</v>
      </c>
      <c r="L23" s="161"/>
      <c r="M23" s="160" t="s">
        <v>20</v>
      </c>
      <c r="N23" s="161"/>
      <c r="O23" s="160" t="s">
        <v>25</v>
      </c>
      <c r="P23" s="161"/>
      <c r="Q23" s="160" t="s">
        <v>26</v>
      </c>
      <c r="R23" s="161"/>
      <c r="S23" s="160" t="s">
        <v>27</v>
      </c>
      <c r="T23" s="161"/>
      <c r="U23" s="160" t="s">
        <v>28</v>
      </c>
      <c r="V23" s="161"/>
      <c r="W23" s="160" t="s">
        <v>41</v>
      </c>
      <c r="X23" s="161"/>
      <c r="Y23" s="160" t="s">
        <v>30</v>
      </c>
      <c r="Z23" s="161"/>
      <c r="AA23" s="160" t="s">
        <v>22</v>
      </c>
      <c r="AB23" s="161"/>
      <c r="AC23" s="160"/>
      <c r="AD23" s="161"/>
      <c r="AE23" s="2" t="s">
        <v>42</v>
      </c>
      <c r="AH23" s="3"/>
      <c r="AJ23" s="3"/>
      <c r="AK23" s="3"/>
      <c r="AL23" s="3"/>
      <c r="AP23" s="12" t="s">
        <v>29</v>
      </c>
      <c r="AQ23" s="13">
        <v>50</v>
      </c>
      <c r="AR23" s="14" t="s">
        <v>21</v>
      </c>
    </row>
    <row r="24" spans="4:44" ht="14.25" customHeight="1" x14ac:dyDescent="0.35">
      <c r="D24" s="2" t="s">
        <v>54</v>
      </c>
      <c r="E24" s="2" t="s">
        <v>44</v>
      </c>
      <c r="I24" s="160">
        <v>1</v>
      </c>
      <c r="J24" s="161"/>
      <c r="K24" s="160">
        <v>1</v>
      </c>
      <c r="L24" s="161"/>
      <c r="M24" s="160">
        <v>1</v>
      </c>
      <c r="N24" s="161"/>
      <c r="O24" s="160">
        <v>1</v>
      </c>
      <c r="P24" s="161"/>
      <c r="Q24" s="160"/>
      <c r="R24" s="161"/>
      <c r="S24" s="160">
        <v>1</v>
      </c>
      <c r="T24" s="161"/>
      <c r="U24" s="160"/>
      <c r="V24" s="161"/>
      <c r="W24" s="160">
        <v>1</v>
      </c>
      <c r="X24" s="161"/>
      <c r="Y24" s="160"/>
      <c r="Z24" s="161"/>
      <c r="AA24" s="160">
        <v>1</v>
      </c>
      <c r="AB24" s="161"/>
      <c r="AC24" s="160"/>
      <c r="AD24" s="161"/>
      <c r="AE24" s="22">
        <f>SUM(I24:AB24)</f>
        <v>7</v>
      </c>
      <c r="AH24" s="3"/>
      <c r="AJ24" s="3"/>
      <c r="AK24" s="3"/>
      <c r="AL24" s="3"/>
      <c r="AP24" s="12" t="s">
        <v>16</v>
      </c>
      <c r="AQ24" s="13">
        <v>10</v>
      </c>
      <c r="AR24" s="14" t="s">
        <v>55</v>
      </c>
    </row>
    <row r="25" spans="4:44" ht="14.25" customHeight="1" x14ac:dyDescent="0.35">
      <c r="E25" s="2" t="s">
        <v>46</v>
      </c>
      <c r="F25" s="2" t="s">
        <v>47</v>
      </c>
      <c r="I25" s="2">
        <v>1</v>
      </c>
      <c r="J25" s="23">
        <f>I25*$C$5*$AE$24</f>
        <v>1.75</v>
      </c>
      <c r="L25" s="23">
        <f>K25*$C$5*$AE$24</f>
        <v>0</v>
      </c>
      <c r="M25" s="2">
        <v>1</v>
      </c>
      <c r="N25" s="23">
        <f>M25*$C$5*$AE$24</f>
        <v>1.75</v>
      </c>
      <c r="P25" s="23">
        <f>O25*$C$5*$AE$24</f>
        <v>0</v>
      </c>
      <c r="R25" s="23">
        <f>Q25*$C$5*$AE$24</f>
        <v>0</v>
      </c>
      <c r="T25" s="23">
        <f>S25*$C$5*$AE$24</f>
        <v>0</v>
      </c>
      <c r="V25" s="23">
        <f>U25*$C$5*$AE$24</f>
        <v>0</v>
      </c>
      <c r="X25" s="23">
        <f>W25*$C$5*$AE$24</f>
        <v>0</v>
      </c>
      <c r="Z25" s="23">
        <f>Y25*$C$5*$AE$24</f>
        <v>0</v>
      </c>
      <c r="AB25" s="23">
        <f>AA25*$C$5*$AE$24</f>
        <v>0</v>
      </c>
      <c r="AD25" s="23">
        <f>AC25*$C$5*$AE$24</f>
        <v>0</v>
      </c>
      <c r="AH25" s="3"/>
      <c r="AJ25" s="3"/>
      <c r="AK25" s="3"/>
      <c r="AL25" s="3"/>
      <c r="AP25" s="17" t="s">
        <v>35</v>
      </c>
      <c r="AQ25" s="18">
        <v>240</v>
      </c>
      <c r="AR25" s="19" t="s">
        <v>36</v>
      </c>
    </row>
    <row r="26" spans="4:44" ht="14.25" customHeight="1" x14ac:dyDescent="0.35">
      <c r="F26" s="2" t="s">
        <v>5</v>
      </c>
      <c r="J26" s="23">
        <f>I26*$C$6*$AE$24</f>
        <v>0</v>
      </c>
      <c r="L26" s="23">
        <f>K26*$C$6*$AE$24</f>
        <v>0</v>
      </c>
      <c r="N26" s="23">
        <f>M26*$C$6*$AE$24</f>
        <v>0</v>
      </c>
      <c r="O26" s="2">
        <v>1</v>
      </c>
      <c r="P26" s="23">
        <f>O26*$C$6*$AE$24</f>
        <v>0.875</v>
      </c>
      <c r="R26" s="23">
        <f>Q26*$C$6*$AE$24</f>
        <v>0</v>
      </c>
      <c r="T26" s="23">
        <f>S26*$C$6*$AE$24</f>
        <v>0</v>
      </c>
      <c r="V26" s="23">
        <f>U26*$C$6*$AE$24</f>
        <v>0</v>
      </c>
      <c r="X26" s="23">
        <f>W26*$C$6*$AE$24</f>
        <v>0</v>
      </c>
      <c r="Z26" s="23">
        <f>Y26*$C$6*$AE$24</f>
        <v>0</v>
      </c>
      <c r="AB26" s="23">
        <f>AA26*$C$6*$AE$24</f>
        <v>0</v>
      </c>
      <c r="AD26" s="23">
        <f>AC26*$C$6*$AE$24</f>
        <v>0</v>
      </c>
      <c r="AH26" s="3"/>
      <c r="AJ26" s="3"/>
      <c r="AK26" s="3"/>
      <c r="AL26" s="3"/>
    </row>
    <row r="27" spans="4:44" ht="14.25" customHeight="1" x14ac:dyDescent="0.35">
      <c r="F27" s="2" t="s">
        <v>23</v>
      </c>
      <c r="J27" s="23">
        <f>I27*$C$7*$AE$24</f>
        <v>0</v>
      </c>
      <c r="L27" s="23">
        <f>K27*$C$7*$AE$24</f>
        <v>0</v>
      </c>
      <c r="N27" s="23">
        <f>M27*$C$7*$AE$24</f>
        <v>0</v>
      </c>
      <c r="P27" s="23">
        <f>O27*$C$7*$AE$24</f>
        <v>0</v>
      </c>
      <c r="R27" s="23">
        <f>Q27*$C$7*$AE$24</f>
        <v>0</v>
      </c>
      <c r="T27" s="23">
        <f>S27*$C$7*$AE$24</f>
        <v>0</v>
      </c>
      <c r="V27" s="23">
        <f>U27*$C$7*$AE$24</f>
        <v>0</v>
      </c>
      <c r="X27" s="23">
        <f>W27*$C$7*$AE$24</f>
        <v>0</v>
      </c>
      <c r="Z27" s="23">
        <f>Y27*$C$7*$AE$24</f>
        <v>0</v>
      </c>
      <c r="AB27" s="23">
        <f>AA27*$C$7*$AE$24</f>
        <v>0</v>
      </c>
      <c r="AD27" s="23">
        <f>AC27*$C$7*$AE$24</f>
        <v>0</v>
      </c>
      <c r="AH27" s="3"/>
      <c r="AJ27" s="3"/>
      <c r="AK27" s="3"/>
      <c r="AL27" s="3"/>
      <c r="AP27" s="4" t="s">
        <v>56</v>
      </c>
      <c r="AQ27" s="5"/>
      <c r="AR27" s="5"/>
    </row>
    <row r="28" spans="4:44" ht="14.25" customHeight="1" x14ac:dyDescent="0.35">
      <c r="E28" s="2" t="s">
        <v>49</v>
      </c>
      <c r="F28" s="2" t="s">
        <v>47</v>
      </c>
      <c r="I28" s="2">
        <v>1</v>
      </c>
      <c r="J28" s="23">
        <f>I28*$C$5*$AE$24</f>
        <v>1.75</v>
      </c>
      <c r="L28" s="23">
        <f>K28*$C$5*$AE$24</f>
        <v>0</v>
      </c>
      <c r="M28" s="2">
        <v>1</v>
      </c>
      <c r="N28" s="23">
        <f>M28*$C$5*$AE$24</f>
        <v>1.75</v>
      </c>
      <c r="P28" s="23">
        <f>O28*$C$5*$AE$24</f>
        <v>0</v>
      </c>
      <c r="R28" s="23">
        <f>Q28*$C$5*$AE$24</f>
        <v>0</v>
      </c>
      <c r="T28" s="23">
        <f>S28*$C$5*$AE$24</f>
        <v>0</v>
      </c>
      <c r="V28" s="23">
        <f>U28*$C$5*$AE$24</f>
        <v>0</v>
      </c>
      <c r="X28" s="23">
        <f>W28*$C$5*$AE$24</f>
        <v>0</v>
      </c>
      <c r="Z28" s="23">
        <f>Y28*$C$5*$AE$24</f>
        <v>0</v>
      </c>
      <c r="AB28" s="23">
        <f>AA28*$C$5*$AE$24</f>
        <v>0</v>
      </c>
      <c r="AD28" s="23">
        <f>AC28*$C$5*$AE$24</f>
        <v>0</v>
      </c>
      <c r="AH28" s="3"/>
      <c r="AJ28" s="3"/>
      <c r="AK28" s="3"/>
      <c r="AL28" s="3"/>
      <c r="AP28" s="7" t="s">
        <v>10</v>
      </c>
      <c r="AQ28" s="8" t="s">
        <v>11</v>
      </c>
      <c r="AR28" s="20" t="s">
        <v>12</v>
      </c>
    </row>
    <row r="29" spans="4:44" ht="14.25" customHeight="1" x14ac:dyDescent="0.35">
      <c r="F29" s="2" t="s">
        <v>5</v>
      </c>
      <c r="J29" s="23">
        <f>I29*$C$6*$AE$24</f>
        <v>0</v>
      </c>
      <c r="L29" s="23">
        <f>K29*$C$6*$AE$24</f>
        <v>0</v>
      </c>
      <c r="N29" s="23">
        <f>M29*$C$6*$AE$24</f>
        <v>0</v>
      </c>
      <c r="P29" s="23">
        <f>O29*$C$6*$AE$24</f>
        <v>0</v>
      </c>
      <c r="R29" s="23">
        <f>Q29*$C$6*$AE$24</f>
        <v>0</v>
      </c>
      <c r="T29" s="23">
        <f>S29*$C$6*$AE$24</f>
        <v>0</v>
      </c>
      <c r="V29" s="23">
        <f>U29*$C$6*$AE$24</f>
        <v>0</v>
      </c>
      <c r="X29" s="23">
        <f>W29*$C$6*$AE$24</f>
        <v>0</v>
      </c>
      <c r="Z29" s="23">
        <f>Y29*$C$6*$AE$24</f>
        <v>0</v>
      </c>
      <c r="AA29" s="2">
        <v>1</v>
      </c>
      <c r="AB29" s="23">
        <f>AA29*$C$6*$AE$24</f>
        <v>0.875</v>
      </c>
      <c r="AD29" s="23">
        <f>AC29*$C$6*$AE$24</f>
        <v>0</v>
      </c>
      <c r="AH29" s="3"/>
      <c r="AJ29" s="3"/>
      <c r="AK29" s="3"/>
      <c r="AL29" s="3"/>
      <c r="AP29" s="12" t="s">
        <v>14</v>
      </c>
      <c r="AQ29" s="13">
        <v>70</v>
      </c>
      <c r="AR29" s="14" t="s">
        <v>57</v>
      </c>
    </row>
    <row r="30" spans="4:44" ht="14.25" customHeight="1" x14ac:dyDescent="0.35">
      <c r="F30" s="2" t="s">
        <v>23</v>
      </c>
      <c r="J30" s="23">
        <f>I30*$C$7*$AE$24</f>
        <v>0</v>
      </c>
      <c r="L30" s="23">
        <f>K30*$C$7*$AE$24</f>
        <v>0</v>
      </c>
      <c r="N30" s="23">
        <f>M30*$C$7*$AE$24</f>
        <v>0</v>
      </c>
      <c r="P30" s="23">
        <f>O30*$C$7*$AE$24</f>
        <v>0</v>
      </c>
      <c r="R30" s="23">
        <f>Q30*$C$7*$AE$24</f>
        <v>0</v>
      </c>
      <c r="T30" s="23">
        <f>S30*$C$7*$AE$24</f>
        <v>0</v>
      </c>
      <c r="V30" s="23">
        <f>U30*$C$7*$AE$24</f>
        <v>0</v>
      </c>
      <c r="X30" s="23">
        <f>W30*$C$7*$AE$24</f>
        <v>0</v>
      </c>
      <c r="Z30" s="23">
        <f>Y30*$C$7*$AE$24</f>
        <v>0</v>
      </c>
      <c r="AB30" s="23">
        <f>AA30*$C$7*$AE$24</f>
        <v>0</v>
      </c>
      <c r="AD30" s="23">
        <f>AC30*$C$7*$AE$24</f>
        <v>0</v>
      </c>
      <c r="AH30" s="3"/>
      <c r="AJ30" s="3"/>
      <c r="AK30" s="3"/>
      <c r="AL30" s="3"/>
      <c r="AP30" s="12" t="s">
        <v>25</v>
      </c>
      <c r="AQ30" s="13">
        <v>70</v>
      </c>
      <c r="AR30" s="14" t="s">
        <v>15</v>
      </c>
    </row>
    <row r="31" spans="4:44" ht="14.25" customHeight="1" x14ac:dyDescent="0.45">
      <c r="F31" s="15" t="s">
        <v>51</v>
      </c>
      <c r="J31" s="24">
        <f>SUM(J25:J30)</f>
        <v>3.5</v>
      </c>
      <c r="L31" s="24">
        <f>SUM(L25:L30)</f>
        <v>0</v>
      </c>
      <c r="M31" s="25"/>
      <c r="N31" s="24">
        <f>SUM(N25:N30)</f>
        <v>3.5</v>
      </c>
      <c r="O31" s="25"/>
      <c r="P31" s="24">
        <f>SUM(P25:P30)</f>
        <v>0.875</v>
      </c>
      <c r="Q31" s="25"/>
      <c r="R31" s="24">
        <f>SUM(R25:R30)</f>
        <v>0</v>
      </c>
      <c r="S31" s="25"/>
      <c r="T31" s="24">
        <f>SUM(T25:T30)</f>
        <v>0</v>
      </c>
      <c r="U31" s="25"/>
      <c r="V31" s="24">
        <f>SUM(V25:V30)</f>
        <v>0</v>
      </c>
      <c r="W31" s="25"/>
      <c r="X31" s="24">
        <f>SUM(X25:X30)</f>
        <v>0</v>
      </c>
      <c r="Y31" s="25"/>
      <c r="Z31" s="24">
        <f>SUM(Z25:Z30)</f>
        <v>0</v>
      </c>
      <c r="AA31" s="25"/>
      <c r="AB31" s="24">
        <f>SUM(AB25:AB30)</f>
        <v>0.875</v>
      </c>
      <c r="AC31" s="25"/>
      <c r="AD31" s="24">
        <f>SUM(AD25:AD30)</f>
        <v>0</v>
      </c>
      <c r="AH31" s="3"/>
      <c r="AJ31" s="3"/>
      <c r="AK31" s="3"/>
      <c r="AL31" s="3"/>
      <c r="AP31" s="12" t="s">
        <v>29</v>
      </c>
      <c r="AQ31" s="13">
        <v>50</v>
      </c>
      <c r="AR31" s="14" t="s">
        <v>17</v>
      </c>
    </row>
    <row r="32" spans="4:44" ht="14.25" customHeight="1" x14ac:dyDescent="0.35">
      <c r="AH32" s="3"/>
      <c r="AJ32" s="3"/>
      <c r="AK32" s="3"/>
      <c r="AL32" s="3"/>
      <c r="AP32" s="12" t="s">
        <v>22</v>
      </c>
      <c r="AQ32" s="13">
        <v>50</v>
      </c>
      <c r="AR32" s="14" t="s">
        <v>21</v>
      </c>
    </row>
    <row r="33" spans="4:44" ht="14.25" customHeight="1" x14ac:dyDescent="0.35">
      <c r="I33" s="160" t="s">
        <v>16</v>
      </c>
      <c r="J33" s="161"/>
      <c r="K33" s="160" t="s">
        <v>14</v>
      </c>
      <c r="L33" s="161"/>
      <c r="M33" s="160" t="s">
        <v>20</v>
      </c>
      <c r="N33" s="161"/>
      <c r="O33" s="160" t="s">
        <v>25</v>
      </c>
      <c r="P33" s="161"/>
      <c r="Q33" s="160" t="s">
        <v>26</v>
      </c>
      <c r="R33" s="161"/>
      <c r="S33" s="160" t="s">
        <v>27</v>
      </c>
      <c r="T33" s="161"/>
      <c r="U33" s="160" t="s">
        <v>28</v>
      </c>
      <c r="V33" s="161"/>
      <c r="W33" s="160" t="s">
        <v>41</v>
      </c>
      <c r="X33" s="161"/>
      <c r="Y33" s="160" t="s">
        <v>30</v>
      </c>
      <c r="Z33" s="161"/>
      <c r="AA33" s="160" t="s">
        <v>22</v>
      </c>
      <c r="AB33" s="161"/>
      <c r="AC33" s="160"/>
      <c r="AD33" s="161"/>
      <c r="AE33" s="2" t="s">
        <v>42</v>
      </c>
      <c r="AH33" s="3"/>
      <c r="AJ33" s="3"/>
      <c r="AK33" s="3"/>
      <c r="AL33" s="3"/>
      <c r="AP33" s="17" t="s">
        <v>35</v>
      </c>
      <c r="AQ33" s="18">
        <v>240</v>
      </c>
      <c r="AR33" s="19" t="s">
        <v>36</v>
      </c>
    </row>
    <row r="34" spans="4:44" ht="14.25" customHeight="1" x14ac:dyDescent="0.35">
      <c r="D34" s="2" t="s">
        <v>58</v>
      </c>
      <c r="E34" s="2" t="s">
        <v>44</v>
      </c>
      <c r="I34" s="160">
        <v>1</v>
      </c>
      <c r="J34" s="161"/>
      <c r="K34" s="160">
        <v>1</v>
      </c>
      <c r="L34" s="161"/>
      <c r="M34" s="160"/>
      <c r="N34" s="161"/>
      <c r="O34" s="160">
        <v>1</v>
      </c>
      <c r="P34" s="161"/>
      <c r="Q34" s="160">
        <v>1</v>
      </c>
      <c r="R34" s="161"/>
      <c r="S34" s="160"/>
      <c r="T34" s="161"/>
      <c r="U34" s="160"/>
      <c r="V34" s="161"/>
      <c r="W34" s="160">
        <v>1</v>
      </c>
      <c r="X34" s="161"/>
      <c r="Y34" s="160"/>
      <c r="Z34" s="161"/>
      <c r="AA34" s="160">
        <v>1</v>
      </c>
      <c r="AB34" s="161"/>
      <c r="AC34" s="160"/>
      <c r="AD34" s="161"/>
      <c r="AE34" s="22">
        <f>SUM(I34:AB34)</f>
        <v>6</v>
      </c>
      <c r="AH34" s="3"/>
      <c r="AJ34" s="3"/>
      <c r="AK34" s="3"/>
      <c r="AL34" s="3"/>
    </row>
    <row r="35" spans="4:44" ht="14.25" customHeight="1" x14ac:dyDescent="0.35">
      <c r="E35" s="2" t="s">
        <v>46</v>
      </c>
      <c r="F35" s="2" t="s">
        <v>47</v>
      </c>
      <c r="J35" s="23">
        <f>I35*$C$5*$AE$34</f>
        <v>0</v>
      </c>
      <c r="L35" s="23">
        <f>K35*$C$5*$AE$34</f>
        <v>0</v>
      </c>
      <c r="N35" s="23">
        <f>M35*$C$5*$AE$34</f>
        <v>0</v>
      </c>
      <c r="P35" s="23">
        <f>O35*$C$5*$AE$34</f>
        <v>0</v>
      </c>
      <c r="Q35" s="2">
        <v>1</v>
      </c>
      <c r="R35" s="23">
        <f>Q35*$C$5*$AE$34</f>
        <v>1.5</v>
      </c>
      <c r="T35" s="23">
        <f>S35*$C$5*$AE$34</f>
        <v>0</v>
      </c>
      <c r="V35" s="23">
        <f>U35*$C$5*$AE$34</f>
        <v>0</v>
      </c>
      <c r="X35" s="23">
        <f>W35*$C$5*$AE$34</f>
        <v>0</v>
      </c>
      <c r="Z35" s="23">
        <f>Y35*$C$5*$AE$34</f>
        <v>0</v>
      </c>
      <c r="AA35" s="2">
        <v>1</v>
      </c>
      <c r="AB35" s="23">
        <f>AA35*$C$5*$AE$34</f>
        <v>1.5</v>
      </c>
      <c r="AD35" s="23">
        <f>AC35*$C$5*$AE$34</f>
        <v>0</v>
      </c>
      <c r="AH35" s="3"/>
      <c r="AJ35" s="3"/>
      <c r="AK35" s="3"/>
      <c r="AL35" s="3"/>
      <c r="AP35" s="4" t="s">
        <v>59</v>
      </c>
      <c r="AQ35" s="5"/>
      <c r="AR35" s="5"/>
    </row>
    <row r="36" spans="4:44" ht="14.25" customHeight="1" x14ac:dyDescent="0.35">
      <c r="F36" s="2" t="s">
        <v>5</v>
      </c>
      <c r="J36" s="23">
        <f>I36*$C$6*$AE$34</f>
        <v>0</v>
      </c>
      <c r="L36" s="23">
        <f>K36*$C$6*$AE$34</f>
        <v>0</v>
      </c>
      <c r="N36" s="23">
        <f>M36*$C$6*$AE$34</f>
        <v>0</v>
      </c>
      <c r="P36" s="23">
        <f>O36*$C$6*$AE$34</f>
        <v>0</v>
      </c>
      <c r="R36" s="23">
        <f>Q36*$C$6*$AE$34</f>
        <v>0</v>
      </c>
      <c r="T36" s="23">
        <f>S36*$C$6*$AE$34</f>
        <v>0</v>
      </c>
      <c r="V36" s="23">
        <f>U36*$C$6*$AE$34</f>
        <v>0</v>
      </c>
      <c r="X36" s="23">
        <f>W36*$C$6*$AE$34</f>
        <v>0</v>
      </c>
      <c r="Z36" s="23">
        <f>Y36*$C$6*$AE$34</f>
        <v>0</v>
      </c>
      <c r="AB36" s="23">
        <f>AA36*$C$6*$AE$34</f>
        <v>0</v>
      </c>
      <c r="AD36" s="23">
        <f>AC36*$C$6*$AE$34</f>
        <v>0</v>
      </c>
      <c r="AH36" s="3"/>
      <c r="AJ36" s="3"/>
      <c r="AK36" s="3"/>
      <c r="AL36" s="3"/>
      <c r="AP36" s="7" t="s">
        <v>10</v>
      </c>
      <c r="AQ36" s="8" t="s">
        <v>11</v>
      </c>
      <c r="AR36" s="20" t="s">
        <v>12</v>
      </c>
    </row>
    <row r="37" spans="4:44" ht="14.25" customHeight="1" x14ac:dyDescent="0.35">
      <c r="F37" s="2" t="s">
        <v>23</v>
      </c>
      <c r="J37" s="23">
        <f>I37*$C$7*$AE$34</f>
        <v>0</v>
      </c>
      <c r="L37" s="23">
        <f>K37*$C$7*$AE$34</f>
        <v>0</v>
      </c>
      <c r="N37" s="23">
        <f>M37*$C$7*$AE$34</f>
        <v>0</v>
      </c>
      <c r="P37" s="23">
        <f>O37*$C$7*$AE$34</f>
        <v>0</v>
      </c>
      <c r="R37" s="23">
        <f>Q37*$C$7*$AE$34</f>
        <v>0</v>
      </c>
      <c r="T37" s="23">
        <f>S37*$C$7*$AE$34</f>
        <v>0</v>
      </c>
      <c r="V37" s="23">
        <f>U37*$C$7*$AE$34</f>
        <v>0</v>
      </c>
      <c r="X37" s="23">
        <f>W37*$C$7*$AE$34</f>
        <v>0</v>
      </c>
      <c r="Z37" s="23">
        <f>Y37*$C$7*$AE$34</f>
        <v>0</v>
      </c>
      <c r="AB37" s="23">
        <f>AA37*$C$7*$AE$34</f>
        <v>0</v>
      </c>
      <c r="AD37" s="23">
        <f>AC37*$C$7*$AE$34</f>
        <v>0</v>
      </c>
      <c r="AH37" s="3"/>
      <c r="AJ37" s="3"/>
      <c r="AK37" s="3"/>
      <c r="AL37" s="3"/>
      <c r="AP37" s="12" t="s">
        <v>14</v>
      </c>
      <c r="AQ37" s="13">
        <v>60</v>
      </c>
      <c r="AR37" s="14" t="s">
        <v>17</v>
      </c>
    </row>
    <row r="38" spans="4:44" ht="14.25" customHeight="1" x14ac:dyDescent="0.35">
      <c r="E38" s="2" t="s">
        <v>49</v>
      </c>
      <c r="F38" s="2" t="s">
        <v>47</v>
      </c>
      <c r="J38" s="23">
        <f>I38*$C$5*$AE$34</f>
        <v>0</v>
      </c>
      <c r="L38" s="23">
        <f>K38*$C$5*$AE$34</f>
        <v>0</v>
      </c>
      <c r="N38" s="23">
        <f>M38*$C$5*$AE$34</f>
        <v>0</v>
      </c>
      <c r="P38" s="23">
        <f>O38*$C$5*$AE$34</f>
        <v>0</v>
      </c>
      <c r="Q38" s="2">
        <v>1</v>
      </c>
      <c r="R38" s="23">
        <f>Q38*$C$5*$AE$34</f>
        <v>1.5</v>
      </c>
      <c r="T38" s="23">
        <f>S38*$C$5*$AE$34</f>
        <v>0</v>
      </c>
      <c r="V38" s="23">
        <f>U38*$C$5*$AE$34</f>
        <v>0</v>
      </c>
      <c r="W38" s="2">
        <v>1</v>
      </c>
      <c r="X38" s="23">
        <f>W38*$C$5*$AE$34</f>
        <v>1.5</v>
      </c>
      <c r="Z38" s="23">
        <f>Y38*$C$5*$AE$34</f>
        <v>0</v>
      </c>
      <c r="AB38" s="23">
        <f>AA38*$C$5*$AE$34</f>
        <v>0</v>
      </c>
      <c r="AD38" s="23">
        <f>AC38*$C$5*$AE$34</f>
        <v>0</v>
      </c>
      <c r="AH38" s="3"/>
      <c r="AJ38" s="3"/>
      <c r="AK38" s="3"/>
      <c r="AL38" s="3"/>
      <c r="AP38" s="12" t="s">
        <v>28</v>
      </c>
      <c r="AQ38" s="13">
        <v>60</v>
      </c>
      <c r="AR38" s="14" t="s">
        <v>21</v>
      </c>
    </row>
    <row r="39" spans="4:44" ht="14.25" customHeight="1" x14ac:dyDescent="0.35">
      <c r="F39" s="2" t="s">
        <v>5</v>
      </c>
      <c r="I39" s="2">
        <v>1</v>
      </c>
      <c r="J39" s="23">
        <f>I39*$C$6*$AE$34</f>
        <v>0.75</v>
      </c>
      <c r="L39" s="23">
        <f>K39*$C$6*$AE$34</f>
        <v>0</v>
      </c>
      <c r="N39" s="23">
        <f>M39*$C$6*$AE$34</f>
        <v>0</v>
      </c>
      <c r="P39" s="23">
        <f>O39*$C$6*$AE$34</f>
        <v>0</v>
      </c>
      <c r="R39" s="23">
        <f>Q39*$C$6*$AE$34</f>
        <v>0</v>
      </c>
      <c r="T39" s="23">
        <f>S39*$C$6*$AE$34</f>
        <v>0</v>
      </c>
      <c r="V39" s="23">
        <f>U39*$C$6*$AE$34</f>
        <v>0</v>
      </c>
      <c r="X39" s="23">
        <f>W39*$C$6*$AE$34</f>
        <v>0</v>
      </c>
      <c r="Z39" s="23">
        <f>Y39*$C$6*$AE$34</f>
        <v>0</v>
      </c>
      <c r="AA39" s="2">
        <v>1</v>
      </c>
      <c r="AB39" s="23">
        <f>AA39*$C$6*$AE$34</f>
        <v>0.75</v>
      </c>
      <c r="AD39" s="23">
        <f>AC39*$C$6*$AE$34</f>
        <v>0</v>
      </c>
      <c r="AH39" s="3"/>
      <c r="AJ39" s="3"/>
      <c r="AK39" s="3"/>
      <c r="AL39" s="3"/>
      <c r="AP39" s="12" t="s">
        <v>29</v>
      </c>
      <c r="AQ39" s="13">
        <v>60</v>
      </c>
      <c r="AR39" s="14" t="s">
        <v>21</v>
      </c>
    </row>
    <row r="40" spans="4:44" ht="14.25" customHeight="1" x14ac:dyDescent="0.35">
      <c r="F40" s="2" t="s">
        <v>23</v>
      </c>
      <c r="J40" s="23">
        <f>I40*$C$7*$AE$34</f>
        <v>0</v>
      </c>
      <c r="L40" s="23">
        <f>K40*$C$7*$AE$34</f>
        <v>0</v>
      </c>
      <c r="N40" s="23">
        <f>M40*$C$7*$AE$34</f>
        <v>0</v>
      </c>
      <c r="P40" s="23">
        <f>O40*$C$7*$AE$34</f>
        <v>0</v>
      </c>
      <c r="R40" s="23">
        <f>Q40*$C$7*$AE$34</f>
        <v>0</v>
      </c>
      <c r="T40" s="23">
        <f>S40*$C$7*$AE$34</f>
        <v>0</v>
      </c>
      <c r="V40" s="23">
        <f>U40*$C$7*$AE$34</f>
        <v>0</v>
      </c>
      <c r="X40" s="23">
        <f>W40*$C$7*$AE$34</f>
        <v>0</v>
      </c>
      <c r="Z40" s="23">
        <f>Y40*$C$7*$AE$34</f>
        <v>0</v>
      </c>
      <c r="AB40" s="23">
        <f>AA40*$C$7*$AE$34</f>
        <v>0</v>
      </c>
      <c r="AD40" s="23">
        <f>AC40*$C$7*$AE$34</f>
        <v>0</v>
      </c>
      <c r="AH40" s="3"/>
      <c r="AJ40" s="3"/>
      <c r="AK40" s="3"/>
      <c r="AL40" s="3"/>
      <c r="AP40" s="12" t="s">
        <v>22</v>
      </c>
      <c r="AQ40" s="13">
        <v>60</v>
      </c>
      <c r="AR40" s="14" t="s">
        <v>17</v>
      </c>
    </row>
    <row r="41" spans="4:44" ht="14.25" customHeight="1" x14ac:dyDescent="0.45">
      <c r="F41" s="15" t="s">
        <v>51</v>
      </c>
      <c r="J41" s="24">
        <f>SUM(J35:J40)</f>
        <v>0.75</v>
      </c>
      <c r="L41" s="24">
        <f>SUM(L35:L40)</f>
        <v>0</v>
      </c>
      <c r="M41" s="25"/>
      <c r="N41" s="24">
        <f>SUM(N35:N40)</f>
        <v>0</v>
      </c>
      <c r="O41" s="25"/>
      <c r="P41" s="24">
        <f>SUM(P35:P40)</f>
        <v>0</v>
      </c>
      <c r="Q41" s="25"/>
      <c r="R41" s="24">
        <f>SUM(R35:R40)</f>
        <v>3</v>
      </c>
      <c r="S41" s="25"/>
      <c r="T41" s="24">
        <f>SUM(T35:T40)</f>
        <v>0</v>
      </c>
      <c r="U41" s="25"/>
      <c r="V41" s="24">
        <f>SUM(V35:V40)</f>
        <v>0</v>
      </c>
      <c r="W41" s="25"/>
      <c r="X41" s="24">
        <f>SUM(X35:X40)</f>
        <v>1.5</v>
      </c>
      <c r="Y41" s="25"/>
      <c r="Z41" s="24">
        <f>SUM(Z35:Z40)</f>
        <v>0</v>
      </c>
      <c r="AA41" s="25"/>
      <c r="AB41" s="24">
        <f>SUM(AB35:AB40)</f>
        <v>2.25</v>
      </c>
      <c r="AC41" s="25"/>
      <c r="AD41" s="24">
        <f>SUM(AD35:AD40)</f>
        <v>0</v>
      </c>
      <c r="AH41" s="3"/>
      <c r="AJ41" s="3"/>
      <c r="AK41" s="3"/>
      <c r="AL41" s="3"/>
      <c r="AP41" s="12" t="s">
        <v>20</v>
      </c>
      <c r="AQ41" s="13">
        <v>40</v>
      </c>
      <c r="AR41" s="14" t="s">
        <v>45</v>
      </c>
    </row>
    <row r="42" spans="4:44" ht="14.25" customHeight="1" x14ac:dyDescent="0.35">
      <c r="AH42" s="3"/>
      <c r="AJ42" s="3"/>
      <c r="AK42" s="3"/>
      <c r="AL42" s="3"/>
      <c r="AP42" s="12" t="s">
        <v>25</v>
      </c>
      <c r="AQ42" s="13">
        <v>40</v>
      </c>
      <c r="AR42" s="14" t="s">
        <v>60</v>
      </c>
    </row>
    <row r="43" spans="4:44" ht="14.25" customHeight="1" x14ac:dyDescent="0.35">
      <c r="I43" s="160" t="s">
        <v>16</v>
      </c>
      <c r="J43" s="161"/>
      <c r="K43" s="160" t="s">
        <v>14</v>
      </c>
      <c r="L43" s="161"/>
      <c r="M43" s="160" t="s">
        <v>20</v>
      </c>
      <c r="N43" s="161"/>
      <c r="O43" s="160" t="s">
        <v>25</v>
      </c>
      <c r="P43" s="161"/>
      <c r="Q43" s="160" t="s">
        <v>26</v>
      </c>
      <c r="R43" s="161"/>
      <c r="S43" s="160" t="s">
        <v>27</v>
      </c>
      <c r="T43" s="161"/>
      <c r="U43" s="160" t="s">
        <v>28</v>
      </c>
      <c r="V43" s="161"/>
      <c r="W43" s="160" t="s">
        <v>41</v>
      </c>
      <c r="X43" s="161"/>
      <c r="Y43" s="160" t="s">
        <v>30</v>
      </c>
      <c r="Z43" s="161"/>
      <c r="AA43" s="160" t="s">
        <v>22</v>
      </c>
      <c r="AB43" s="161"/>
      <c r="AC43" s="160"/>
      <c r="AD43" s="161"/>
      <c r="AE43" s="2" t="s">
        <v>42</v>
      </c>
      <c r="AH43" s="3"/>
      <c r="AJ43" s="3"/>
      <c r="AK43" s="3"/>
      <c r="AL43" s="3"/>
      <c r="AP43" s="12" t="s">
        <v>31</v>
      </c>
      <c r="AQ43" s="13">
        <v>40</v>
      </c>
      <c r="AR43" s="14" t="s">
        <v>32</v>
      </c>
    </row>
    <row r="44" spans="4:44" ht="14.25" customHeight="1" x14ac:dyDescent="0.35">
      <c r="D44" s="2" t="s">
        <v>61</v>
      </c>
      <c r="E44" s="2" t="s">
        <v>44</v>
      </c>
      <c r="I44" s="160">
        <v>1</v>
      </c>
      <c r="J44" s="161"/>
      <c r="K44" s="160">
        <v>1</v>
      </c>
      <c r="L44" s="161"/>
      <c r="M44" s="160"/>
      <c r="N44" s="161"/>
      <c r="O44" s="160">
        <v>1</v>
      </c>
      <c r="P44" s="161"/>
      <c r="Q44" s="160"/>
      <c r="R44" s="161"/>
      <c r="S44" s="160">
        <v>1</v>
      </c>
      <c r="T44" s="161"/>
      <c r="U44" s="160"/>
      <c r="V44" s="161"/>
      <c r="W44" s="160">
        <v>1</v>
      </c>
      <c r="X44" s="161"/>
      <c r="Y44" s="160"/>
      <c r="Z44" s="161"/>
      <c r="AA44" s="160">
        <v>1</v>
      </c>
      <c r="AB44" s="161"/>
      <c r="AC44" s="160"/>
      <c r="AD44" s="161"/>
      <c r="AE44" s="22">
        <f>SUM(I44:AB44)</f>
        <v>6</v>
      </c>
      <c r="AH44" s="3"/>
      <c r="AJ44" s="3"/>
      <c r="AK44" s="3"/>
      <c r="AL44" s="3"/>
      <c r="AP44" s="12" t="s">
        <v>16</v>
      </c>
      <c r="AQ44" s="13">
        <v>30</v>
      </c>
      <c r="AR44" s="14" t="s">
        <v>62</v>
      </c>
    </row>
    <row r="45" spans="4:44" ht="14.25" customHeight="1" x14ac:dyDescent="0.35">
      <c r="E45" s="2" t="s">
        <v>46</v>
      </c>
      <c r="F45" s="2" t="s">
        <v>47</v>
      </c>
      <c r="J45" s="23">
        <f>I45*$C$5*$AE$44</f>
        <v>0</v>
      </c>
      <c r="K45" s="2">
        <v>1</v>
      </c>
      <c r="L45" s="23">
        <f>K45*$C$5*$AE$44</f>
        <v>1.5</v>
      </c>
      <c r="N45" s="23">
        <f>M45*$C$5*$AE$44</f>
        <v>0</v>
      </c>
      <c r="P45" s="23">
        <f>O45*$C$5*$AE$44</f>
        <v>0</v>
      </c>
      <c r="R45" s="23">
        <f>Q45*$C$5*$AE$44</f>
        <v>0</v>
      </c>
      <c r="T45" s="23">
        <f>S45*$C$5*$AE$44</f>
        <v>0</v>
      </c>
      <c r="V45" s="23">
        <f>U45*$C$5*$AE$44</f>
        <v>0</v>
      </c>
      <c r="W45" s="2">
        <v>1</v>
      </c>
      <c r="X45" s="23">
        <f>W45*$C$5*$AE$44</f>
        <v>1.5</v>
      </c>
      <c r="Z45" s="23">
        <f>Y45*$C$5*$AE$44</f>
        <v>0</v>
      </c>
      <c r="AB45" s="23">
        <f>AA45*$C$5*$AE$44</f>
        <v>0</v>
      </c>
      <c r="AD45" s="23">
        <f>AC45*$C$5*$AE$44</f>
        <v>0</v>
      </c>
      <c r="AH45" s="3"/>
      <c r="AJ45" s="3"/>
      <c r="AK45" s="3"/>
      <c r="AL45" s="3"/>
      <c r="AP45" s="12" t="s">
        <v>26</v>
      </c>
      <c r="AQ45" s="13">
        <v>10</v>
      </c>
      <c r="AR45" s="14" t="s">
        <v>63</v>
      </c>
    </row>
    <row r="46" spans="4:44" ht="14.25" customHeight="1" x14ac:dyDescent="0.35">
      <c r="F46" s="2" t="s">
        <v>5</v>
      </c>
      <c r="J46" s="23">
        <f>I46*$C$6*$AE$44</f>
        <v>0</v>
      </c>
      <c r="L46" s="23">
        <f>K46*$C$6*$AE$44</f>
        <v>0</v>
      </c>
      <c r="N46" s="23">
        <f>M46*$C$6*$AE$44</f>
        <v>0</v>
      </c>
      <c r="O46" s="2">
        <v>1</v>
      </c>
      <c r="P46" s="23">
        <f>O46*$C$6*$AE$44</f>
        <v>0.75</v>
      </c>
      <c r="R46" s="23">
        <f>Q46*$C$6*$AE$44</f>
        <v>0</v>
      </c>
      <c r="T46" s="23">
        <f>S46*$C$6*$AE$44</f>
        <v>0</v>
      </c>
      <c r="V46" s="23">
        <f>U46*$C$6*$AE$44</f>
        <v>0</v>
      </c>
      <c r="X46" s="23">
        <f>W46*$C$6*$AE$44</f>
        <v>0</v>
      </c>
      <c r="Z46" s="23">
        <f>Y46*$C$6*$AE$44</f>
        <v>0</v>
      </c>
      <c r="AB46" s="23">
        <f>AA46*$C$6*$AE$44</f>
        <v>0</v>
      </c>
      <c r="AD46" s="23">
        <f>AC46*$C$6*$AE$44</f>
        <v>0</v>
      </c>
      <c r="AH46" s="3"/>
      <c r="AJ46" s="3"/>
      <c r="AK46" s="3"/>
      <c r="AL46" s="3"/>
      <c r="AP46" s="17" t="s">
        <v>35</v>
      </c>
      <c r="AQ46" s="18">
        <v>400</v>
      </c>
      <c r="AR46" s="19" t="s">
        <v>64</v>
      </c>
    </row>
    <row r="47" spans="4:44" ht="14.25" customHeight="1" x14ac:dyDescent="0.35">
      <c r="F47" s="2" t="s">
        <v>23</v>
      </c>
      <c r="J47" s="23">
        <f>I47*$C$7*$AE$44</f>
        <v>0</v>
      </c>
      <c r="L47" s="23">
        <f>K47*$C$7*$AE$44</f>
        <v>0</v>
      </c>
      <c r="N47" s="23">
        <f>M47*$C$7*$AE$44</f>
        <v>0</v>
      </c>
      <c r="P47" s="23">
        <f>O47*$C$7*$AE$44</f>
        <v>0</v>
      </c>
      <c r="R47" s="23">
        <f>Q47*$C$7*$AE$44</f>
        <v>0</v>
      </c>
      <c r="T47" s="23">
        <f>S47*$C$7*$AE$44</f>
        <v>0</v>
      </c>
      <c r="V47" s="23">
        <f>U47*$C$7*$AE$44</f>
        <v>0</v>
      </c>
      <c r="X47" s="23">
        <f>W47*$C$7*$AE$44</f>
        <v>0</v>
      </c>
      <c r="Z47" s="23">
        <f>Y47*$C$7*$AE$44</f>
        <v>0</v>
      </c>
      <c r="AB47" s="23">
        <f>AA47*$C$7*$AE$44</f>
        <v>0</v>
      </c>
      <c r="AD47" s="23">
        <f>AC47*$C$7*$AE$44</f>
        <v>0</v>
      </c>
      <c r="AH47" s="3"/>
      <c r="AJ47" s="3"/>
      <c r="AK47" s="3"/>
      <c r="AL47" s="3"/>
    </row>
    <row r="48" spans="4:44" ht="14.25" customHeight="1" x14ac:dyDescent="0.35">
      <c r="E48" s="2" t="s">
        <v>49</v>
      </c>
      <c r="F48" s="2" t="s">
        <v>47</v>
      </c>
      <c r="J48" s="23">
        <f>I48*$C$5*$AE$44</f>
        <v>0</v>
      </c>
      <c r="L48" s="23">
        <f>K48*$C$5*$AE$44</f>
        <v>0</v>
      </c>
      <c r="N48" s="23">
        <f>M48*$C$5*$AE$44</f>
        <v>0</v>
      </c>
      <c r="O48" s="2">
        <v>1</v>
      </c>
      <c r="P48" s="23">
        <f>O48*$C$5*$AE$44</f>
        <v>1.5</v>
      </c>
      <c r="R48" s="23">
        <f>Q48*$C$5*$AE$44</f>
        <v>0</v>
      </c>
      <c r="T48" s="23">
        <f>S48*$C$5*$AE$44</f>
        <v>0</v>
      </c>
      <c r="V48" s="23">
        <f>U48*$C$5*$AE$44</f>
        <v>0</v>
      </c>
      <c r="X48" s="23">
        <f>W48*$C$5*$AE$44</f>
        <v>0</v>
      </c>
      <c r="Z48" s="23">
        <f>Y48*$C$5*$AE$44</f>
        <v>0</v>
      </c>
      <c r="AA48" s="2">
        <v>1</v>
      </c>
      <c r="AB48" s="23">
        <f>AA48*$C$5*$AE$44</f>
        <v>1.5</v>
      </c>
      <c r="AD48" s="23">
        <f>AC48*$C$5*$AE$44</f>
        <v>0</v>
      </c>
      <c r="AH48" s="3"/>
      <c r="AJ48" s="3"/>
      <c r="AK48" s="3"/>
      <c r="AL48" s="3"/>
      <c r="AP48" s="4" t="s">
        <v>65</v>
      </c>
      <c r="AQ48" s="5"/>
      <c r="AR48" s="5"/>
    </row>
    <row r="49" spans="4:44" ht="14.25" customHeight="1" x14ac:dyDescent="0.35">
      <c r="F49" s="2" t="s">
        <v>5</v>
      </c>
      <c r="J49" s="23">
        <f>I49*$C$6*$AE$44</f>
        <v>0</v>
      </c>
      <c r="K49" s="2">
        <v>1</v>
      </c>
      <c r="L49" s="23">
        <f>K49*$C$6*$AE$44</f>
        <v>0.75</v>
      </c>
      <c r="N49" s="23">
        <f>M49*$C$6*$AE$44</f>
        <v>0</v>
      </c>
      <c r="P49" s="23">
        <f>O49*$C$6*$AE$44</f>
        <v>0</v>
      </c>
      <c r="R49" s="23">
        <f>Q49*$C$6*$AE$44</f>
        <v>0</v>
      </c>
      <c r="T49" s="23">
        <f>S49*$C$6*$AE$44</f>
        <v>0</v>
      </c>
      <c r="V49" s="23">
        <f>U49*$C$6*$AE$44</f>
        <v>0</v>
      </c>
      <c r="X49" s="23">
        <f>W49*$C$6*$AE$44</f>
        <v>0</v>
      </c>
      <c r="Z49" s="23">
        <f>Y49*$C$6*$AE$44</f>
        <v>0</v>
      </c>
      <c r="AB49" s="23">
        <f>AA49*$C$6*$AE$44</f>
        <v>0</v>
      </c>
      <c r="AD49" s="23">
        <f>AC49*$C$6*$AE$44</f>
        <v>0</v>
      </c>
      <c r="AH49" s="3"/>
      <c r="AJ49" s="3"/>
      <c r="AK49" s="3"/>
      <c r="AL49" s="3"/>
      <c r="AP49" s="7" t="s">
        <v>10</v>
      </c>
      <c r="AQ49" s="8" t="s">
        <v>11</v>
      </c>
      <c r="AR49" s="20" t="s">
        <v>12</v>
      </c>
    </row>
    <row r="50" spans="4:44" ht="14.25" customHeight="1" x14ac:dyDescent="0.35">
      <c r="F50" s="2" t="s">
        <v>23</v>
      </c>
      <c r="J50" s="23">
        <f>I50*$C$7*$AE$44</f>
        <v>0</v>
      </c>
      <c r="L50" s="23">
        <f>K50*$C$7*$AE$44</f>
        <v>0</v>
      </c>
      <c r="N50" s="23">
        <f>M50*$C$7*$AE$44</f>
        <v>0</v>
      </c>
      <c r="P50" s="23">
        <f>O50*$C$7*$AE$44</f>
        <v>0</v>
      </c>
      <c r="R50" s="23">
        <f>Q50*$C$7*$AE$44</f>
        <v>0</v>
      </c>
      <c r="T50" s="23">
        <f>S50*$C$7*$AE$44</f>
        <v>0</v>
      </c>
      <c r="V50" s="23">
        <f>U50*$C$7*$AE$44</f>
        <v>0</v>
      </c>
      <c r="X50" s="23">
        <f>W50*$C$7*$AE$44</f>
        <v>0</v>
      </c>
      <c r="Z50" s="23">
        <f>Y50*$C$7*$AE$44</f>
        <v>0</v>
      </c>
      <c r="AB50" s="23">
        <f>AA50*$C$7*$AE$44</f>
        <v>0</v>
      </c>
      <c r="AD50" s="23">
        <f>AC50*$C$7*$AE$44</f>
        <v>0</v>
      </c>
      <c r="AH50" s="3"/>
      <c r="AJ50" s="3"/>
      <c r="AK50" s="3"/>
      <c r="AL50" s="3"/>
      <c r="AP50" s="12" t="s">
        <v>14</v>
      </c>
      <c r="AQ50" s="13">
        <v>80</v>
      </c>
      <c r="AR50" s="14" t="s">
        <v>66</v>
      </c>
    </row>
    <row r="51" spans="4:44" ht="14.25" customHeight="1" x14ac:dyDescent="0.45">
      <c r="F51" s="15" t="s">
        <v>51</v>
      </c>
      <c r="J51" s="24">
        <f>SUM(J45:J50)</f>
        <v>0</v>
      </c>
      <c r="L51" s="24">
        <f>SUM(L45:L50)</f>
        <v>2.25</v>
      </c>
      <c r="M51" s="25"/>
      <c r="N51" s="24">
        <f>SUM(N45:N50)</f>
        <v>0</v>
      </c>
      <c r="O51" s="25"/>
      <c r="P51" s="24">
        <f>SUM(P45:P50)</f>
        <v>2.25</v>
      </c>
      <c r="Q51" s="25"/>
      <c r="R51" s="24">
        <f>SUM(R45:R50)</f>
        <v>0</v>
      </c>
      <c r="S51" s="25"/>
      <c r="T51" s="24">
        <f>SUM(T45:T50)</f>
        <v>0</v>
      </c>
      <c r="U51" s="25"/>
      <c r="V51" s="24">
        <f>SUM(V45:V50)</f>
        <v>0</v>
      </c>
      <c r="W51" s="25"/>
      <c r="X51" s="24">
        <f>SUM(X45:X50)</f>
        <v>1.5</v>
      </c>
      <c r="Y51" s="25"/>
      <c r="Z51" s="24">
        <f>SUM(Z45:Z50)</f>
        <v>0</v>
      </c>
      <c r="AA51" s="25"/>
      <c r="AB51" s="24">
        <f>SUM(AB45:AB50)</f>
        <v>1.5</v>
      </c>
      <c r="AC51" s="25"/>
      <c r="AD51" s="24">
        <f>SUM(AD45:AD50)</f>
        <v>0</v>
      </c>
      <c r="AH51" s="3"/>
      <c r="AJ51" s="3"/>
      <c r="AK51" s="3"/>
      <c r="AL51" s="3"/>
      <c r="AP51" s="12" t="s">
        <v>25</v>
      </c>
      <c r="AQ51" s="13">
        <v>56.67</v>
      </c>
      <c r="AR51" s="14" t="s">
        <v>67</v>
      </c>
    </row>
    <row r="52" spans="4:44" ht="14.25" customHeight="1" x14ac:dyDescent="0.35">
      <c r="AH52" s="3"/>
      <c r="AJ52" s="3"/>
      <c r="AK52" s="3"/>
      <c r="AL52" s="3"/>
      <c r="AP52" s="12" t="s">
        <v>28</v>
      </c>
      <c r="AQ52" s="13">
        <v>50</v>
      </c>
      <c r="AR52" s="14" t="s">
        <v>17</v>
      </c>
    </row>
    <row r="53" spans="4:44" ht="14.25" customHeight="1" x14ac:dyDescent="0.35">
      <c r="I53" s="160" t="s">
        <v>16</v>
      </c>
      <c r="J53" s="161"/>
      <c r="K53" s="160" t="s">
        <v>14</v>
      </c>
      <c r="L53" s="161"/>
      <c r="M53" s="160" t="s">
        <v>20</v>
      </c>
      <c r="N53" s="161"/>
      <c r="O53" s="160" t="s">
        <v>25</v>
      </c>
      <c r="P53" s="161"/>
      <c r="Q53" s="160" t="s">
        <v>26</v>
      </c>
      <c r="R53" s="161"/>
      <c r="S53" s="160" t="s">
        <v>27</v>
      </c>
      <c r="T53" s="161"/>
      <c r="U53" s="160" t="s">
        <v>28</v>
      </c>
      <c r="V53" s="161"/>
      <c r="W53" s="160" t="s">
        <v>41</v>
      </c>
      <c r="X53" s="161"/>
      <c r="Y53" s="160" t="s">
        <v>30</v>
      </c>
      <c r="Z53" s="161"/>
      <c r="AA53" s="160" t="s">
        <v>22</v>
      </c>
      <c r="AB53" s="161"/>
      <c r="AC53" s="160" t="s">
        <v>31</v>
      </c>
      <c r="AD53" s="161"/>
      <c r="AE53" s="2" t="s">
        <v>42</v>
      </c>
      <c r="AH53" s="3"/>
      <c r="AJ53" s="3"/>
      <c r="AK53" s="3"/>
      <c r="AL53" s="3"/>
      <c r="AP53" s="12" t="s">
        <v>22</v>
      </c>
      <c r="AQ53" s="13">
        <v>50</v>
      </c>
      <c r="AR53" s="14" t="s">
        <v>21</v>
      </c>
    </row>
    <row r="54" spans="4:44" ht="14.25" customHeight="1" x14ac:dyDescent="0.35">
      <c r="D54" s="2" t="s">
        <v>68</v>
      </c>
      <c r="E54" s="2" t="s">
        <v>44</v>
      </c>
      <c r="I54" s="160">
        <v>1</v>
      </c>
      <c r="J54" s="161"/>
      <c r="K54" s="160">
        <v>1</v>
      </c>
      <c r="L54" s="161"/>
      <c r="M54" s="160">
        <v>1</v>
      </c>
      <c r="N54" s="161"/>
      <c r="O54" s="160">
        <v>1</v>
      </c>
      <c r="P54" s="161"/>
      <c r="Q54" s="160">
        <v>1</v>
      </c>
      <c r="R54" s="161"/>
      <c r="S54" s="160">
        <v>1</v>
      </c>
      <c r="T54" s="161"/>
      <c r="U54" s="160">
        <v>1</v>
      </c>
      <c r="V54" s="161"/>
      <c r="W54" s="160">
        <v>1</v>
      </c>
      <c r="X54" s="161"/>
      <c r="Y54" s="160"/>
      <c r="Z54" s="161"/>
      <c r="AA54" s="160">
        <v>1</v>
      </c>
      <c r="AB54" s="161"/>
      <c r="AC54" s="160">
        <v>1</v>
      </c>
      <c r="AD54" s="161"/>
      <c r="AE54" s="22">
        <f>SUM(I54:AD54)</f>
        <v>10</v>
      </c>
      <c r="AH54" s="3"/>
      <c r="AJ54" s="3"/>
      <c r="AK54" s="3"/>
      <c r="AL54" s="3"/>
      <c r="AP54" s="12" t="s">
        <v>31</v>
      </c>
      <c r="AQ54" s="13">
        <v>50</v>
      </c>
      <c r="AR54" s="14" t="s">
        <v>17</v>
      </c>
    </row>
    <row r="55" spans="4:44" ht="14.25" customHeight="1" x14ac:dyDescent="0.35">
      <c r="E55" s="2" t="s">
        <v>46</v>
      </c>
      <c r="F55" s="2" t="s">
        <v>47</v>
      </c>
      <c r="J55" s="23">
        <f>I55*$C$5*$AE$54</f>
        <v>0</v>
      </c>
      <c r="K55" s="2">
        <v>1</v>
      </c>
      <c r="L55" s="23">
        <f>K55*$C$5*$AE$54</f>
        <v>2.5</v>
      </c>
      <c r="N55" s="23">
        <f>M55*$C$5*$AE$54</f>
        <v>0</v>
      </c>
      <c r="P55" s="23">
        <f>O55*$C$5*$AE$54</f>
        <v>0</v>
      </c>
      <c r="R55" s="23">
        <f>Q55*$C$5*$AE$54</f>
        <v>0</v>
      </c>
      <c r="T55" s="23">
        <f>S55*$C$5*$AE$54</f>
        <v>0</v>
      </c>
      <c r="V55" s="23">
        <f>U55*$C$5*$AE$54</f>
        <v>0</v>
      </c>
      <c r="X55" s="23">
        <f>W55*$C$5*$AE$54</f>
        <v>0</v>
      </c>
      <c r="Z55" s="23">
        <f>Y55*$C$5*$AE$54</f>
        <v>0</v>
      </c>
      <c r="AA55" s="2">
        <v>1</v>
      </c>
      <c r="AB55" s="23">
        <f>AA55*$C$5*$AE$54</f>
        <v>2.5</v>
      </c>
      <c r="AD55" s="23">
        <f>AC55*$C$5*$AE$54</f>
        <v>0</v>
      </c>
      <c r="AH55" s="3"/>
      <c r="AJ55" s="3"/>
      <c r="AK55" s="3"/>
      <c r="AL55" s="3"/>
      <c r="AP55" s="12" t="s">
        <v>16</v>
      </c>
      <c r="AQ55" s="13">
        <v>26.67</v>
      </c>
      <c r="AR55" s="14" t="s">
        <v>69</v>
      </c>
    </row>
    <row r="56" spans="4:44" ht="14.25" customHeight="1" x14ac:dyDescent="0.35">
      <c r="F56" s="2" t="s">
        <v>5</v>
      </c>
      <c r="J56" s="23">
        <f>I56*$C$6*$AE$54</f>
        <v>0</v>
      </c>
      <c r="L56" s="23">
        <f>K56*$C$6*$AE$54</f>
        <v>0</v>
      </c>
      <c r="M56" s="2">
        <v>1</v>
      </c>
      <c r="N56" s="23">
        <f>M56*$C$6*$AE$54</f>
        <v>1.25</v>
      </c>
      <c r="P56" s="23">
        <f>O56*$C$6*$AE$54</f>
        <v>0</v>
      </c>
      <c r="R56" s="23">
        <f>Q56*$C$6*$AE$54</f>
        <v>0</v>
      </c>
      <c r="T56" s="23">
        <f>S56*$C$6*$AE$54</f>
        <v>0</v>
      </c>
      <c r="V56" s="23">
        <f>U56*$C$6*$AE$54</f>
        <v>0</v>
      </c>
      <c r="X56" s="23">
        <f>W56*$C$6*$AE$54</f>
        <v>0</v>
      </c>
      <c r="Z56" s="23">
        <f>Y56*$C$6*$AE$54</f>
        <v>0</v>
      </c>
      <c r="AB56" s="23">
        <f>AA56*$C$6*$AE$54</f>
        <v>0</v>
      </c>
      <c r="AD56" s="23">
        <f>AC56*$C$6*$AE$54</f>
        <v>0</v>
      </c>
      <c r="AH56" s="3"/>
      <c r="AJ56" s="3"/>
      <c r="AK56" s="3"/>
      <c r="AL56" s="3"/>
      <c r="AP56" s="12" t="s">
        <v>29</v>
      </c>
      <c r="AQ56" s="13">
        <v>6.67</v>
      </c>
      <c r="AR56" s="14" t="s">
        <v>70</v>
      </c>
    </row>
    <row r="57" spans="4:44" ht="14.25" customHeight="1" x14ac:dyDescent="0.35">
      <c r="F57" s="2" t="s">
        <v>23</v>
      </c>
      <c r="J57" s="23">
        <f>I57*$C$7*$AE$54</f>
        <v>0</v>
      </c>
      <c r="L57" s="23">
        <f>K57*$C$7*$AE$54</f>
        <v>0</v>
      </c>
      <c r="N57" s="23">
        <f>M57*$C$7*$AE$54</f>
        <v>0</v>
      </c>
      <c r="O57" s="2">
        <v>1</v>
      </c>
      <c r="P57" s="23">
        <f>O57*$C$7*$AE$54</f>
        <v>0.83333333333333326</v>
      </c>
      <c r="R57" s="23">
        <f>Q57*$C$7*$AE$54</f>
        <v>0</v>
      </c>
      <c r="T57" s="23">
        <f>S57*$C$7*$AE$54</f>
        <v>0</v>
      </c>
      <c r="V57" s="23">
        <f>U57*$C$7*$AE$54</f>
        <v>0</v>
      </c>
      <c r="X57" s="23">
        <f>W57*$C$7*$AE$54</f>
        <v>0</v>
      </c>
      <c r="Z57" s="23">
        <f>Y57*$C$7*$AE$54</f>
        <v>0</v>
      </c>
      <c r="AB57" s="23">
        <f>AA57*$C$7*$AE$54</f>
        <v>0</v>
      </c>
      <c r="AD57" s="23">
        <f>AC57*$C$7*$AE$54</f>
        <v>0</v>
      </c>
      <c r="AH57" s="3"/>
      <c r="AJ57" s="3"/>
      <c r="AK57" s="3"/>
      <c r="AL57" s="3"/>
      <c r="AP57" s="17" t="s">
        <v>35</v>
      </c>
      <c r="AQ57" s="18">
        <v>320.01</v>
      </c>
      <c r="AR57" s="19" t="s">
        <v>71</v>
      </c>
    </row>
    <row r="58" spans="4:44" ht="14.25" customHeight="1" x14ac:dyDescent="0.35">
      <c r="F58" s="2" t="s">
        <v>72</v>
      </c>
      <c r="G58" s="2" t="s">
        <v>73</v>
      </c>
      <c r="I58" s="2">
        <v>1</v>
      </c>
      <c r="J58" s="23">
        <f>(I58*$C$8*$AE$54)/2</f>
        <v>0.3125</v>
      </c>
      <c r="L58" s="23">
        <f>K58*$C$8*$AE$54</f>
        <v>0</v>
      </c>
      <c r="N58" s="23">
        <f>M58*$C$8*$AE$54</f>
        <v>0</v>
      </c>
      <c r="P58" s="23">
        <f>O58*$C$8*$AE$54</f>
        <v>0</v>
      </c>
      <c r="Q58" s="2">
        <v>1</v>
      </c>
      <c r="R58" s="23">
        <f>(Q58*$C$8*$AE$54)/2</f>
        <v>0.3125</v>
      </c>
      <c r="T58" s="23">
        <f>S58*$C$8*$AE$54</f>
        <v>0</v>
      </c>
      <c r="V58" s="23">
        <f>U58*$C$8*$AE$54</f>
        <v>0</v>
      </c>
      <c r="X58" s="23">
        <f>W58*$C$8*$AE$54</f>
        <v>0</v>
      </c>
      <c r="Z58" s="23">
        <f>Y58*$C$8*$AE$54</f>
        <v>0</v>
      </c>
      <c r="AB58" s="23">
        <f>AA58*$C$8*$AE$54</f>
        <v>0</v>
      </c>
      <c r="AD58" s="23">
        <f>AC58*$C$8*$AE$54</f>
        <v>0</v>
      </c>
      <c r="AH58" s="3"/>
      <c r="AJ58" s="3"/>
      <c r="AK58" s="3"/>
      <c r="AL58" s="3"/>
    </row>
    <row r="59" spans="4:44" ht="14.25" customHeight="1" x14ac:dyDescent="0.35">
      <c r="E59" s="2" t="s">
        <v>49</v>
      </c>
      <c r="F59" s="2" t="s">
        <v>47</v>
      </c>
      <c r="J59" s="23">
        <f>I59*$C$5*$AE$54</f>
        <v>0</v>
      </c>
      <c r="L59" s="23">
        <f>K59*$C$5*$AE$54</f>
        <v>0</v>
      </c>
      <c r="N59" s="23">
        <f>M59*$C$5*$AE$54</f>
        <v>0</v>
      </c>
      <c r="P59" s="23">
        <f>O59*$C$5*$AE$54</f>
        <v>0</v>
      </c>
      <c r="R59" s="23">
        <f>Q59*$C$5*$AE$54</f>
        <v>0</v>
      </c>
      <c r="T59" s="23">
        <f>S59*$C$5*$AE$54</f>
        <v>0</v>
      </c>
      <c r="U59" s="2">
        <v>1</v>
      </c>
      <c r="V59" s="23">
        <f>U59*$C$5*$AE$54</f>
        <v>2.5</v>
      </c>
      <c r="W59" s="2">
        <v>1</v>
      </c>
      <c r="X59" s="23">
        <f>W59*$C$5*$AE$54</f>
        <v>2.5</v>
      </c>
      <c r="Z59" s="23">
        <f>Y59*$C$5*$AE$54</f>
        <v>0</v>
      </c>
      <c r="AB59" s="23">
        <f>AA59*$C$5*$AE$54</f>
        <v>0</v>
      </c>
      <c r="AD59" s="23">
        <f>AC59*$C$5*$AE$54</f>
        <v>0</v>
      </c>
      <c r="AH59" s="3"/>
      <c r="AJ59" s="3"/>
      <c r="AK59" s="3"/>
      <c r="AL59" s="3"/>
      <c r="AP59" s="4" t="s">
        <v>74</v>
      </c>
      <c r="AQ59" s="5"/>
      <c r="AR59" s="5"/>
    </row>
    <row r="60" spans="4:44" ht="14.25" customHeight="1" x14ac:dyDescent="0.35">
      <c r="F60" s="2" t="s">
        <v>5</v>
      </c>
      <c r="J60" s="23">
        <f>I60*$C$6*$AE$54</f>
        <v>0</v>
      </c>
      <c r="L60" s="23">
        <f>K60*$C$6*$AE$54</f>
        <v>0</v>
      </c>
      <c r="N60" s="23">
        <f>M60*$C$6*$AE$54</f>
        <v>0</v>
      </c>
      <c r="P60" s="23">
        <f>O60*$C$6*$AE$54</f>
        <v>0</v>
      </c>
      <c r="R60" s="23">
        <f>Q60*$C$6*$AE$54</f>
        <v>0</v>
      </c>
      <c r="T60" s="23">
        <f>S60*$C$6*$AE$54</f>
        <v>0</v>
      </c>
      <c r="V60" s="23">
        <f>U60*$C$6*$AE$54</f>
        <v>0</v>
      </c>
      <c r="X60" s="23">
        <f>W60*$C$6*$AE$54</f>
        <v>0</v>
      </c>
      <c r="Z60" s="23">
        <f>Y60*$C$6*$AE$54</f>
        <v>0</v>
      </c>
      <c r="AB60" s="23">
        <f>AA60*$C$6*$AE$54</f>
        <v>0</v>
      </c>
      <c r="AC60" s="2">
        <v>1</v>
      </c>
      <c r="AD60" s="23">
        <f>AC60*$C$6*$AE$54</f>
        <v>1.25</v>
      </c>
      <c r="AH60" s="3"/>
      <c r="AJ60" s="3"/>
      <c r="AK60" s="3"/>
      <c r="AL60" s="3"/>
      <c r="AP60" s="7" t="s">
        <v>10</v>
      </c>
      <c r="AQ60" s="8" t="s">
        <v>11</v>
      </c>
      <c r="AR60" s="20" t="s">
        <v>12</v>
      </c>
    </row>
    <row r="61" spans="4:44" ht="14.25" customHeight="1" x14ac:dyDescent="0.35">
      <c r="F61" s="2" t="s">
        <v>23</v>
      </c>
      <c r="J61" s="23">
        <f>I61*$C$7*$AE$54</f>
        <v>0</v>
      </c>
      <c r="L61" s="23">
        <f>K61*$C$7*$AE$54</f>
        <v>0</v>
      </c>
      <c r="N61" s="23">
        <f>M61*$C$7*$AE$54</f>
        <v>0</v>
      </c>
      <c r="O61" s="2">
        <v>1</v>
      </c>
      <c r="P61" s="23">
        <f>O61*$C$7*$AE$54</f>
        <v>0.83333333333333326</v>
      </c>
      <c r="R61" s="23">
        <f>Q61*$C$7*$AE$54</f>
        <v>0</v>
      </c>
      <c r="T61" s="23">
        <f>S61*$C$7*$AE$54</f>
        <v>0</v>
      </c>
      <c r="V61" s="23">
        <f>U61*$C$7*$AE$54</f>
        <v>0</v>
      </c>
      <c r="X61" s="23">
        <f>W61*$C$7*$AE$54</f>
        <v>0</v>
      </c>
      <c r="Z61" s="23">
        <f>Y61*$C$7*$AE$54</f>
        <v>0</v>
      </c>
      <c r="AB61" s="23">
        <f>AA61*$C$7*$AE$54</f>
        <v>0</v>
      </c>
      <c r="AD61" s="23">
        <f>AC61*$C$7*$AE$54</f>
        <v>0</v>
      </c>
      <c r="AH61" s="3"/>
      <c r="AJ61" s="3"/>
      <c r="AK61" s="3"/>
      <c r="AL61" s="3"/>
      <c r="AP61" s="12" t="s">
        <v>28</v>
      </c>
      <c r="AQ61" s="13">
        <v>70</v>
      </c>
      <c r="AR61" s="14" t="s">
        <v>15</v>
      </c>
    </row>
    <row r="62" spans="4:44" ht="14.25" customHeight="1" x14ac:dyDescent="0.35">
      <c r="F62" s="2" t="s">
        <v>72</v>
      </c>
      <c r="I62" s="2">
        <v>1</v>
      </c>
      <c r="J62" s="23">
        <f>I62*$C$8*$AE$54</f>
        <v>0.625</v>
      </c>
      <c r="L62" s="23">
        <f>K62*$C$8*$AE$54</f>
        <v>0</v>
      </c>
      <c r="N62" s="23">
        <f>M62*$C$8*$AE$54</f>
        <v>0</v>
      </c>
      <c r="P62" s="23">
        <f>O62*$C$8*$AE$54</f>
        <v>0</v>
      </c>
      <c r="R62" s="23">
        <f>Q62*$C$8*$AE$54</f>
        <v>0</v>
      </c>
      <c r="T62" s="23">
        <f>S62*$C$8*$AE$54</f>
        <v>0</v>
      </c>
      <c r="V62" s="23">
        <f>U62*$C$8*$AE$54</f>
        <v>0</v>
      </c>
      <c r="X62" s="23">
        <f>W62*$C$8*$AE$54</f>
        <v>0</v>
      </c>
      <c r="Z62" s="23">
        <f>Y62*$C$8*$AE$54</f>
        <v>0</v>
      </c>
      <c r="AB62" s="23">
        <f>AA62*$C$8*$AE$54</f>
        <v>0</v>
      </c>
      <c r="AD62" s="23">
        <f>AC62*$C$8*$AE$54</f>
        <v>0</v>
      </c>
      <c r="AH62" s="3"/>
      <c r="AJ62" s="3"/>
      <c r="AK62" s="3"/>
      <c r="AL62" s="3"/>
      <c r="AP62" s="12" t="s">
        <v>14</v>
      </c>
      <c r="AQ62" s="13">
        <v>60</v>
      </c>
      <c r="AR62" s="14" t="s">
        <v>75</v>
      </c>
    </row>
    <row r="63" spans="4:44" ht="14.25" customHeight="1" x14ac:dyDescent="0.45">
      <c r="F63" s="15" t="s">
        <v>51</v>
      </c>
      <c r="J63" s="24">
        <f>SUM(J55:J62)</f>
        <v>0.9375</v>
      </c>
      <c r="L63" s="24">
        <f>SUM(L55:L62)</f>
        <v>2.5</v>
      </c>
      <c r="M63" s="25"/>
      <c r="N63" s="24">
        <f>SUM(N55:N62)</f>
        <v>1.25</v>
      </c>
      <c r="O63" s="25"/>
      <c r="P63" s="24">
        <f>SUM(P55:P62)</f>
        <v>1.6666666666666665</v>
      </c>
      <c r="Q63" s="25"/>
      <c r="R63" s="24">
        <f>SUM(R55:R62)</f>
        <v>0.3125</v>
      </c>
      <c r="S63" s="25"/>
      <c r="T63" s="24">
        <f>SUM(T55:T62)</f>
        <v>0</v>
      </c>
      <c r="U63" s="25"/>
      <c r="V63" s="24">
        <f>SUM(V55:V62)</f>
        <v>2.5</v>
      </c>
      <c r="W63" s="25"/>
      <c r="X63" s="24">
        <f>SUM(X55:X62)</f>
        <v>2.5</v>
      </c>
      <c r="Y63" s="25"/>
      <c r="Z63" s="24">
        <f>SUM(Z55:Z62)</f>
        <v>0</v>
      </c>
      <c r="AA63" s="25"/>
      <c r="AB63" s="24">
        <f>SUM(AB55:AB62)</f>
        <v>2.5</v>
      </c>
      <c r="AC63" s="25"/>
      <c r="AD63" s="24">
        <f>SUM(AD55:AD62)</f>
        <v>1.25</v>
      </c>
      <c r="AH63" s="3"/>
      <c r="AJ63" s="3"/>
      <c r="AK63" s="3"/>
      <c r="AL63" s="3"/>
      <c r="AP63" s="12" t="s">
        <v>25</v>
      </c>
      <c r="AQ63" s="13">
        <v>50</v>
      </c>
      <c r="AR63" s="14" t="s">
        <v>21</v>
      </c>
    </row>
    <row r="64" spans="4:44" ht="14.25" customHeight="1" x14ac:dyDescent="0.35">
      <c r="AH64" s="3"/>
      <c r="AJ64" s="3"/>
      <c r="AK64" s="3"/>
      <c r="AL64" s="3"/>
      <c r="AP64" s="12" t="s">
        <v>29</v>
      </c>
      <c r="AQ64" s="13">
        <v>50</v>
      </c>
      <c r="AR64" s="14" t="s">
        <v>17</v>
      </c>
    </row>
    <row r="65" spans="4:44" ht="14.25" customHeight="1" x14ac:dyDescent="0.35">
      <c r="I65" s="160" t="s">
        <v>16</v>
      </c>
      <c r="J65" s="161"/>
      <c r="K65" s="160" t="s">
        <v>14</v>
      </c>
      <c r="L65" s="161"/>
      <c r="M65" s="160" t="s">
        <v>20</v>
      </c>
      <c r="N65" s="161"/>
      <c r="O65" s="160" t="s">
        <v>25</v>
      </c>
      <c r="P65" s="161"/>
      <c r="Q65" s="160" t="s">
        <v>26</v>
      </c>
      <c r="R65" s="161"/>
      <c r="S65" s="160" t="s">
        <v>27</v>
      </c>
      <c r="T65" s="161"/>
      <c r="U65" s="160" t="s">
        <v>28</v>
      </c>
      <c r="V65" s="161"/>
      <c r="W65" s="160" t="s">
        <v>41</v>
      </c>
      <c r="X65" s="161"/>
      <c r="Y65" s="160" t="s">
        <v>30</v>
      </c>
      <c r="Z65" s="161"/>
      <c r="AA65" s="160" t="s">
        <v>22</v>
      </c>
      <c r="AB65" s="161"/>
      <c r="AC65" s="160" t="s">
        <v>31</v>
      </c>
      <c r="AD65" s="161"/>
      <c r="AE65" s="2" t="s">
        <v>42</v>
      </c>
      <c r="AH65" s="3"/>
      <c r="AJ65" s="3"/>
      <c r="AK65" s="3"/>
      <c r="AL65" s="3"/>
      <c r="AP65" s="12" t="s">
        <v>20</v>
      </c>
      <c r="AQ65" s="13">
        <v>10</v>
      </c>
      <c r="AR65" s="14" t="s">
        <v>55</v>
      </c>
    </row>
    <row r="66" spans="4:44" ht="14.25" customHeight="1" x14ac:dyDescent="0.35">
      <c r="D66" s="2" t="s">
        <v>76</v>
      </c>
      <c r="E66" s="2" t="s">
        <v>44</v>
      </c>
      <c r="I66" s="160">
        <v>1</v>
      </c>
      <c r="J66" s="161"/>
      <c r="K66" s="160">
        <v>1</v>
      </c>
      <c r="L66" s="161"/>
      <c r="M66" s="160">
        <v>1</v>
      </c>
      <c r="N66" s="161"/>
      <c r="O66" s="160">
        <v>1</v>
      </c>
      <c r="P66" s="161"/>
      <c r="Q66" s="160"/>
      <c r="R66" s="161"/>
      <c r="S66" s="160"/>
      <c r="T66" s="161"/>
      <c r="U66" s="160">
        <v>1</v>
      </c>
      <c r="V66" s="161"/>
      <c r="W66" s="160">
        <v>1</v>
      </c>
      <c r="X66" s="161"/>
      <c r="Y66" s="160"/>
      <c r="Z66" s="161"/>
      <c r="AA66" s="160">
        <v>1</v>
      </c>
      <c r="AB66" s="161"/>
      <c r="AC66" s="160">
        <v>1</v>
      </c>
      <c r="AD66" s="161"/>
      <c r="AE66" s="22">
        <f>SUM(I66:AD66)</f>
        <v>8</v>
      </c>
      <c r="AH66" s="3"/>
      <c r="AJ66" s="3"/>
      <c r="AK66" s="3"/>
      <c r="AL66" s="3"/>
      <c r="AP66" s="17" t="s">
        <v>35</v>
      </c>
      <c r="AQ66" s="18">
        <v>240</v>
      </c>
      <c r="AR66" s="19" t="s">
        <v>36</v>
      </c>
    </row>
    <row r="67" spans="4:44" ht="14.25" customHeight="1" x14ac:dyDescent="0.35">
      <c r="E67" s="2" t="s">
        <v>46</v>
      </c>
      <c r="F67" s="2" t="s">
        <v>47</v>
      </c>
      <c r="J67" s="23">
        <f>I67*$C$5*$AE$66</f>
        <v>0</v>
      </c>
      <c r="L67" s="23">
        <f>K67*$C$5*$AE$66</f>
        <v>0</v>
      </c>
      <c r="N67" s="23">
        <f>M67*$C$5*$AE$66</f>
        <v>0</v>
      </c>
      <c r="P67" s="23">
        <f>O67*$C$5*$AE$66</f>
        <v>0</v>
      </c>
      <c r="R67" s="23">
        <f>Q67*$C$5*$AE$66</f>
        <v>0</v>
      </c>
      <c r="T67" s="23">
        <f>S67*$C$5*$AE$66</f>
        <v>0</v>
      </c>
      <c r="U67" s="2">
        <v>1</v>
      </c>
      <c r="V67" s="23">
        <f>U67*$C$5*$AE$66</f>
        <v>2</v>
      </c>
      <c r="X67" s="23">
        <f>W67*$C$5*$AE$66</f>
        <v>0</v>
      </c>
      <c r="Z67" s="23">
        <f>Y67*$C$5*$AE$66</f>
        <v>0</v>
      </c>
      <c r="AB67" s="23">
        <f>AA67*$C$5*$AE$66</f>
        <v>0</v>
      </c>
      <c r="AC67" s="2">
        <v>1</v>
      </c>
      <c r="AD67" s="23">
        <f>AC67*$C$5*$AE$66</f>
        <v>2</v>
      </c>
      <c r="AH67" s="3"/>
      <c r="AJ67" s="3"/>
      <c r="AK67" s="3"/>
      <c r="AL67" s="3"/>
    </row>
    <row r="68" spans="4:44" ht="14.25" customHeight="1" x14ac:dyDescent="0.35">
      <c r="F68" s="2" t="s">
        <v>5</v>
      </c>
      <c r="J68" s="23">
        <f>I68*$C$6*$AE$66</f>
        <v>0</v>
      </c>
      <c r="K68" s="2">
        <v>1</v>
      </c>
      <c r="L68" s="23">
        <f>K68*$C$6*$AE$66</f>
        <v>1</v>
      </c>
      <c r="N68" s="23">
        <f>M68*$C$6*$AE$66</f>
        <v>0</v>
      </c>
      <c r="P68" s="23">
        <f>O68*$C$6*$AE$66</f>
        <v>0</v>
      </c>
      <c r="R68" s="23">
        <f>Q68*$C$6*$AE$66</f>
        <v>0</v>
      </c>
      <c r="T68" s="23">
        <f>S68*$C$6*$AE$66</f>
        <v>0</v>
      </c>
      <c r="V68" s="23">
        <f>U68*$C$6*$AE$66</f>
        <v>0</v>
      </c>
      <c r="X68" s="23">
        <f>W68*$C$6*$AE$66</f>
        <v>0</v>
      </c>
      <c r="Z68" s="23">
        <f>Y68*$C$6*$AE$66</f>
        <v>0</v>
      </c>
      <c r="AB68" s="23">
        <f>AA68*$C$6*$AE$66</f>
        <v>0</v>
      </c>
      <c r="AD68" s="23">
        <f>AC68*$C$6*$AE$66</f>
        <v>0</v>
      </c>
      <c r="AH68" s="3"/>
      <c r="AJ68" s="3"/>
      <c r="AK68" s="3"/>
      <c r="AL68" s="3"/>
      <c r="AP68" s="4" t="s">
        <v>77</v>
      </c>
      <c r="AQ68" s="5"/>
      <c r="AR68" s="5"/>
    </row>
    <row r="69" spans="4:44" ht="14.25" customHeight="1" x14ac:dyDescent="0.35">
      <c r="F69" s="2" t="s">
        <v>23</v>
      </c>
      <c r="G69" s="2" t="s">
        <v>78</v>
      </c>
      <c r="I69" s="2">
        <v>1</v>
      </c>
      <c r="J69" s="23">
        <f>(I69*$C$7*$AE$66)/3</f>
        <v>0.22222222222222221</v>
      </c>
      <c r="L69" s="23">
        <f>K69*$C$7*$AE$66</f>
        <v>0</v>
      </c>
      <c r="N69" s="23">
        <f>M69*$C$7*$AE$66</f>
        <v>0</v>
      </c>
      <c r="O69" s="2">
        <v>1</v>
      </c>
      <c r="P69" s="23">
        <f>(O69*$C$7*$AE$66)/3</f>
        <v>0.22222222222222221</v>
      </c>
      <c r="R69" s="23">
        <f>Q69*$C$7*$AE$66</f>
        <v>0</v>
      </c>
      <c r="T69" s="23">
        <f>S69*$C$7*$AE$66</f>
        <v>0</v>
      </c>
      <c r="V69" s="23">
        <f>U69*$C$7*$AE$66</f>
        <v>0</v>
      </c>
      <c r="W69" s="2">
        <v>1</v>
      </c>
      <c r="X69" s="23">
        <f>(W69*$C$7*$AE$66)/3</f>
        <v>0.22222222222222221</v>
      </c>
      <c r="Z69" s="23">
        <f>Y69*$C$7*$AE$66</f>
        <v>0</v>
      </c>
      <c r="AB69" s="23">
        <f>AA69*$C$7*$AE$66</f>
        <v>0</v>
      </c>
      <c r="AD69" s="23">
        <f>AC69*$C$7*$AE$66</f>
        <v>0</v>
      </c>
      <c r="AH69" s="3"/>
      <c r="AJ69" s="3"/>
      <c r="AK69" s="3"/>
      <c r="AL69" s="3"/>
      <c r="AP69" s="7" t="s">
        <v>10</v>
      </c>
      <c r="AQ69" s="8" t="s">
        <v>11</v>
      </c>
      <c r="AR69" s="20" t="s">
        <v>12</v>
      </c>
    </row>
    <row r="70" spans="4:44" ht="14.25" customHeight="1" x14ac:dyDescent="0.35">
      <c r="E70" s="2" t="s">
        <v>49</v>
      </c>
      <c r="F70" s="2" t="s">
        <v>47</v>
      </c>
      <c r="J70" s="23">
        <f t="shared" ref="J70:J72" si="0">I70*$C$5*$AE$66</f>
        <v>0</v>
      </c>
      <c r="L70" s="23">
        <f t="shared" ref="L70:L72" si="1">K70*$C$5*$AE$66</f>
        <v>0</v>
      </c>
      <c r="N70" s="23">
        <f t="shared" ref="N70:N72" si="2">M70*$C$5*$AE$66</f>
        <v>0</v>
      </c>
      <c r="O70" s="2">
        <v>1</v>
      </c>
      <c r="P70" s="23">
        <f t="shared" ref="P70:P72" si="3">O70*$C$5*$AE$66</f>
        <v>2</v>
      </c>
      <c r="R70" s="23">
        <f t="shared" ref="R70:R72" si="4">Q70*$C$5*$AE$66</f>
        <v>0</v>
      </c>
      <c r="T70" s="23">
        <f t="shared" ref="T70:T72" si="5">S70*$C$5*$AE$66</f>
        <v>0</v>
      </c>
      <c r="V70" s="23">
        <f t="shared" ref="V70:V72" si="6">U70*$C$5*$AE$66</f>
        <v>0</v>
      </c>
      <c r="X70" s="23">
        <f t="shared" ref="X70:X72" si="7">W70*$C$5*$AE$66</f>
        <v>0</v>
      </c>
      <c r="Z70" s="23">
        <f t="shared" ref="Z70:Z72" si="8">Y70*$C$5*$AE$66</f>
        <v>0</v>
      </c>
      <c r="AA70" s="2">
        <v>1</v>
      </c>
      <c r="AB70" s="23">
        <f t="shared" ref="AB70:AB72" si="9">AA70*$C$5*$AE$66</f>
        <v>2</v>
      </c>
      <c r="AD70" s="23">
        <f t="shared" ref="AD70:AD72" si="10">AC70*$C$5*$AE$66</f>
        <v>0</v>
      </c>
      <c r="AH70" s="3"/>
      <c r="AJ70" s="3"/>
      <c r="AK70" s="3"/>
      <c r="AL70" s="3"/>
      <c r="AP70" s="12" t="s">
        <v>25</v>
      </c>
      <c r="AQ70" s="13">
        <v>100</v>
      </c>
      <c r="AR70" s="14" t="s">
        <v>40</v>
      </c>
    </row>
    <row r="71" spans="4:44" ht="14.25" customHeight="1" x14ac:dyDescent="0.35">
      <c r="F71" s="2" t="s">
        <v>5</v>
      </c>
      <c r="J71" s="23">
        <f t="shared" si="0"/>
        <v>0</v>
      </c>
      <c r="K71" s="2">
        <v>1</v>
      </c>
      <c r="L71" s="23">
        <f t="shared" si="1"/>
        <v>2</v>
      </c>
      <c r="N71" s="23">
        <f t="shared" si="2"/>
        <v>0</v>
      </c>
      <c r="P71" s="23">
        <f t="shared" si="3"/>
        <v>0</v>
      </c>
      <c r="R71" s="23">
        <f t="shared" si="4"/>
        <v>0</v>
      </c>
      <c r="T71" s="23">
        <f t="shared" si="5"/>
        <v>0</v>
      </c>
      <c r="V71" s="23">
        <f t="shared" si="6"/>
        <v>0</v>
      </c>
      <c r="X71" s="23">
        <f t="shared" si="7"/>
        <v>0</v>
      </c>
      <c r="Z71" s="23">
        <f t="shared" si="8"/>
        <v>0</v>
      </c>
      <c r="AB71" s="23">
        <f t="shared" si="9"/>
        <v>0</v>
      </c>
      <c r="AD71" s="23">
        <f t="shared" si="10"/>
        <v>0</v>
      </c>
      <c r="AH71" s="3"/>
      <c r="AJ71" s="3"/>
      <c r="AK71" s="3"/>
      <c r="AL71" s="3"/>
      <c r="AP71" s="12" t="s">
        <v>20</v>
      </c>
      <c r="AQ71" s="13">
        <v>50</v>
      </c>
      <c r="AR71" s="14" t="s">
        <v>21</v>
      </c>
    </row>
    <row r="72" spans="4:44" ht="14.25" customHeight="1" x14ac:dyDescent="0.35">
      <c r="F72" s="2" t="s">
        <v>23</v>
      </c>
      <c r="I72" s="2">
        <v>1</v>
      </c>
      <c r="J72" s="23">
        <f t="shared" si="0"/>
        <v>2</v>
      </c>
      <c r="L72" s="23">
        <f t="shared" si="1"/>
        <v>0</v>
      </c>
      <c r="N72" s="23">
        <f t="shared" si="2"/>
        <v>0</v>
      </c>
      <c r="P72" s="23">
        <f t="shared" si="3"/>
        <v>0</v>
      </c>
      <c r="R72" s="23">
        <f t="shared" si="4"/>
        <v>0</v>
      </c>
      <c r="T72" s="23">
        <f t="shared" si="5"/>
        <v>0</v>
      </c>
      <c r="V72" s="23">
        <f t="shared" si="6"/>
        <v>0</v>
      </c>
      <c r="X72" s="23">
        <f t="shared" si="7"/>
        <v>0</v>
      </c>
      <c r="Z72" s="23">
        <f t="shared" si="8"/>
        <v>0</v>
      </c>
      <c r="AB72" s="23">
        <f t="shared" si="9"/>
        <v>0</v>
      </c>
      <c r="AD72" s="23">
        <f t="shared" si="10"/>
        <v>0</v>
      </c>
      <c r="AH72" s="3"/>
      <c r="AJ72" s="3"/>
      <c r="AK72" s="3"/>
      <c r="AL72" s="3"/>
      <c r="AP72" s="12" t="s">
        <v>22</v>
      </c>
      <c r="AQ72" s="13">
        <v>50</v>
      </c>
      <c r="AR72" s="14" t="s">
        <v>17</v>
      </c>
    </row>
    <row r="73" spans="4:44" ht="14.25" customHeight="1" x14ac:dyDescent="0.45">
      <c r="F73" s="15" t="s">
        <v>51</v>
      </c>
      <c r="J73" s="24">
        <f>SUM(J67:J72)</f>
        <v>2.2222222222222223</v>
      </c>
      <c r="L73" s="24">
        <f>SUM(L67:L72)</f>
        <v>3</v>
      </c>
      <c r="M73" s="25"/>
      <c r="N73" s="24">
        <f>SUM(N67:N72)</f>
        <v>0</v>
      </c>
      <c r="O73" s="25"/>
      <c r="P73" s="24">
        <f>SUM(P67:P72)</f>
        <v>2.2222222222222223</v>
      </c>
      <c r="Q73" s="25"/>
      <c r="R73" s="24">
        <f>SUM(R67:R72)</f>
        <v>0</v>
      </c>
      <c r="S73" s="25"/>
      <c r="T73" s="24">
        <f>SUM(T67:T72)</f>
        <v>0</v>
      </c>
      <c r="U73" s="25"/>
      <c r="V73" s="24">
        <f>SUM(V67:V72)</f>
        <v>2</v>
      </c>
      <c r="W73" s="25"/>
      <c r="X73" s="24">
        <f>SUM(X67:X72)</f>
        <v>0.22222222222222221</v>
      </c>
      <c r="Y73" s="25"/>
      <c r="Z73" s="24">
        <f>SUM(Z67:Z72)</f>
        <v>0</v>
      </c>
      <c r="AA73" s="25"/>
      <c r="AB73" s="24">
        <f>SUM(AB67:AB72)</f>
        <v>2</v>
      </c>
      <c r="AC73" s="25"/>
      <c r="AD73" s="24">
        <f>SUM(AD67:AD72)</f>
        <v>2</v>
      </c>
      <c r="AH73" s="3"/>
      <c r="AJ73" s="3"/>
      <c r="AK73" s="3"/>
      <c r="AL73" s="3"/>
      <c r="AP73" s="12" t="s">
        <v>26</v>
      </c>
      <c r="AQ73" s="13">
        <v>40</v>
      </c>
      <c r="AR73" s="14" t="s">
        <v>45</v>
      </c>
    </row>
    <row r="74" spans="4:44" ht="14.25" customHeight="1" x14ac:dyDescent="0.35">
      <c r="AH74" s="3"/>
      <c r="AJ74" s="3"/>
      <c r="AK74" s="3"/>
      <c r="AL74" s="3"/>
      <c r="AP74" s="12" t="s">
        <v>16</v>
      </c>
      <c r="AQ74" s="13">
        <v>30</v>
      </c>
      <c r="AR74" s="14" t="s">
        <v>55</v>
      </c>
    </row>
    <row r="75" spans="4:44" ht="14.25" customHeight="1" x14ac:dyDescent="0.35">
      <c r="I75" s="160" t="s">
        <v>16</v>
      </c>
      <c r="J75" s="161"/>
      <c r="K75" s="160" t="s">
        <v>14</v>
      </c>
      <c r="L75" s="161"/>
      <c r="M75" s="160" t="s">
        <v>20</v>
      </c>
      <c r="N75" s="161"/>
      <c r="O75" s="160" t="s">
        <v>25</v>
      </c>
      <c r="P75" s="161"/>
      <c r="Q75" s="160" t="s">
        <v>26</v>
      </c>
      <c r="R75" s="161"/>
      <c r="S75" s="160" t="s">
        <v>27</v>
      </c>
      <c r="T75" s="161"/>
      <c r="U75" s="160" t="s">
        <v>28</v>
      </c>
      <c r="V75" s="161"/>
      <c r="W75" s="160" t="s">
        <v>41</v>
      </c>
      <c r="X75" s="161"/>
      <c r="Y75" s="160" t="s">
        <v>30</v>
      </c>
      <c r="Z75" s="161"/>
      <c r="AA75" s="160" t="s">
        <v>22</v>
      </c>
      <c r="AB75" s="161"/>
      <c r="AC75" s="160" t="s">
        <v>31</v>
      </c>
      <c r="AD75" s="161"/>
      <c r="AE75" s="2" t="s">
        <v>42</v>
      </c>
      <c r="AH75" s="3"/>
      <c r="AJ75" s="3"/>
      <c r="AK75" s="3"/>
      <c r="AL75" s="3"/>
      <c r="AP75" s="12" t="s">
        <v>14</v>
      </c>
      <c r="AQ75" s="13">
        <v>30</v>
      </c>
      <c r="AR75" s="14" t="s">
        <v>55</v>
      </c>
    </row>
    <row r="76" spans="4:44" ht="14.25" customHeight="1" x14ac:dyDescent="0.35">
      <c r="D76" s="2" t="s">
        <v>79</v>
      </c>
      <c r="E76" s="2" t="s">
        <v>44</v>
      </c>
      <c r="I76" s="160"/>
      <c r="J76" s="161"/>
      <c r="K76" s="160">
        <v>1</v>
      </c>
      <c r="L76" s="161"/>
      <c r="M76" s="160">
        <v>1</v>
      </c>
      <c r="N76" s="161"/>
      <c r="O76" s="160">
        <v>1</v>
      </c>
      <c r="P76" s="161"/>
      <c r="Q76" s="160"/>
      <c r="R76" s="161"/>
      <c r="S76" s="160"/>
      <c r="T76" s="161"/>
      <c r="U76" s="160">
        <v>1</v>
      </c>
      <c r="V76" s="161"/>
      <c r="W76" s="160">
        <v>1</v>
      </c>
      <c r="X76" s="161"/>
      <c r="Y76" s="160"/>
      <c r="Z76" s="161"/>
      <c r="AA76" s="160">
        <v>1</v>
      </c>
      <c r="AB76" s="161"/>
      <c r="AC76" s="160"/>
      <c r="AD76" s="161"/>
      <c r="AE76" s="22">
        <f>SUM(I76:AB76)</f>
        <v>6</v>
      </c>
      <c r="AH76" s="3"/>
      <c r="AJ76" s="3"/>
      <c r="AK76" s="3"/>
      <c r="AL76" s="3"/>
      <c r="AP76" s="12" t="s">
        <v>27</v>
      </c>
      <c r="AQ76" s="13">
        <v>20</v>
      </c>
      <c r="AR76" s="14" t="s">
        <v>80</v>
      </c>
    </row>
    <row r="77" spans="4:44" ht="14.25" customHeight="1" x14ac:dyDescent="0.35">
      <c r="E77" s="2" t="s">
        <v>46</v>
      </c>
      <c r="F77" s="2" t="s">
        <v>47</v>
      </c>
      <c r="J77" s="23">
        <f>I77*$C$5*$AE$76</f>
        <v>0</v>
      </c>
      <c r="K77" s="2">
        <v>1</v>
      </c>
      <c r="L77" s="23">
        <f>K77*$C$5*$AE$76</f>
        <v>1.5</v>
      </c>
      <c r="N77" s="23">
        <f>M77*$C$5*$AE$76</f>
        <v>0</v>
      </c>
      <c r="P77" s="23">
        <f>O77*$C$5*$AE$76</f>
        <v>0</v>
      </c>
      <c r="R77" s="23">
        <f>Q77*$C$5*$AE$76</f>
        <v>0</v>
      </c>
      <c r="T77" s="23">
        <f>S77*$C$5*$AE$76</f>
        <v>0</v>
      </c>
      <c r="V77" s="23">
        <f>U77*$C$5*$AE$76</f>
        <v>0</v>
      </c>
      <c r="W77" s="2">
        <v>1</v>
      </c>
      <c r="X77" s="23">
        <f>W77*$C$5*$AE$76</f>
        <v>1.5</v>
      </c>
      <c r="Z77" s="23">
        <f>Y77*$C$5*$AE$76</f>
        <v>0</v>
      </c>
      <c r="AB77" s="23">
        <f>AA77*$C$5*$AE$76</f>
        <v>0</v>
      </c>
      <c r="AD77" s="23">
        <f>AC77*$C$5*$AE$76</f>
        <v>0</v>
      </c>
      <c r="AH77" s="3"/>
      <c r="AJ77" s="3"/>
      <c r="AK77" s="3"/>
      <c r="AL77" s="3"/>
      <c r="AP77" s="17" t="s">
        <v>35</v>
      </c>
      <c r="AQ77" s="18">
        <v>320</v>
      </c>
      <c r="AR77" s="19" t="s">
        <v>71</v>
      </c>
    </row>
    <row r="78" spans="4:44" ht="14.25" customHeight="1" x14ac:dyDescent="0.35">
      <c r="F78" s="2" t="s">
        <v>5</v>
      </c>
      <c r="J78" s="23">
        <f>I78*$C$6*$AE$76</f>
        <v>0</v>
      </c>
      <c r="L78" s="23">
        <f>K78*$C$6*$AE$76</f>
        <v>0</v>
      </c>
      <c r="N78" s="23">
        <f>M78*$C$6*$AE$76</f>
        <v>0</v>
      </c>
      <c r="P78" s="23">
        <f>O78*$C$6*$AE$76</f>
        <v>0</v>
      </c>
      <c r="R78" s="23">
        <f>Q78*$C$6*$AE$76</f>
        <v>0</v>
      </c>
      <c r="T78" s="23">
        <f>S78*$C$6*$AE$76</f>
        <v>0</v>
      </c>
      <c r="U78" s="2">
        <v>1</v>
      </c>
      <c r="V78" s="23">
        <f>U78*$C$6*$AE$76</f>
        <v>0.75</v>
      </c>
      <c r="X78" s="23">
        <f>W78*$C$6*$AE$76</f>
        <v>0</v>
      </c>
      <c r="Z78" s="23">
        <f>Y78*$C$6*$AE$76</f>
        <v>0</v>
      </c>
      <c r="AB78" s="23">
        <f>AA78*$C$6*$AE$76</f>
        <v>0</v>
      </c>
      <c r="AD78" s="23">
        <f>AC78*$C$6*$AE$76</f>
        <v>0</v>
      </c>
      <c r="AH78" s="3"/>
      <c r="AJ78" s="3"/>
      <c r="AK78" s="3"/>
      <c r="AL78" s="3"/>
    </row>
    <row r="79" spans="4:44" ht="14.25" customHeight="1" x14ac:dyDescent="0.35">
      <c r="F79" s="2" t="s">
        <v>23</v>
      </c>
      <c r="J79" s="23">
        <f>I79*$C$7*$AE$76</f>
        <v>0</v>
      </c>
      <c r="L79" s="23">
        <f>K79*$C$7*$AE$76</f>
        <v>0</v>
      </c>
      <c r="N79" s="23">
        <f>M79*$C$7*$AE$76</f>
        <v>0</v>
      </c>
      <c r="P79" s="23">
        <f>O79*$C$7*$AE$76</f>
        <v>0</v>
      </c>
      <c r="R79" s="23">
        <f>Q79*$C$7*$AE$76</f>
        <v>0</v>
      </c>
      <c r="T79" s="23">
        <f>S79*$C$7*$AE$76</f>
        <v>0</v>
      </c>
      <c r="V79" s="23">
        <f>U79*$C$7*$AE$76</f>
        <v>0</v>
      </c>
      <c r="X79" s="23">
        <f>W79*$C$7*$AE$76</f>
        <v>0</v>
      </c>
      <c r="Z79" s="23">
        <f>Y79*$C$7*$AE$76</f>
        <v>0</v>
      </c>
      <c r="AB79" s="23">
        <f>AA79*$C$7*$AE$76</f>
        <v>0</v>
      </c>
      <c r="AD79" s="23">
        <f>AC79*$C$7*$AE$76</f>
        <v>0</v>
      </c>
      <c r="AH79" s="3"/>
      <c r="AJ79" s="3"/>
      <c r="AK79" s="3"/>
      <c r="AL79" s="3"/>
      <c r="AP79" s="4" t="s">
        <v>81</v>
      </c>
      <c r="AQ79" s="5"/>
      <c r="AR79" s="5"/>
    </row>
    <row r="80" spans="4:44" ht="14.25" customHeight="1" x14ac:dyDescent="0.35">
      <c r="E80" s="2" t="s">
        <v>49</v>
      </c>
      <c r="F80" s="2" t="s">
        <v>47</v>
      </c>
      <c r="J80" s="23">
        <f>I80*$C$5*$AE$76</f>
        <v>0</v>
      </c>
      <c r="L80" s="23">
        <f>K80*$C$5*$AE$76</f>
        <v>0</v>
      </c>
      <c r="N80" s="23">
        <f>M80*$C$5*$AE$76</f>
        <v>0</v>
      </c>
      <c r="O80" s="2">
        <v>1</v>
      </c>
      <c r="P80" s="23">
        <f>O80*$C$5*$AE$76</f>
        <v>1.5</v>
      </c>
      <c r="R80" s="23">
        <f>Q80*$C$5*$AE$76</f>
        <v>0</v>
      </c>
      <c r="T80" s="23">
        <f>S80*$C$5*$AE$76</f>
        <v>0</v>
      </c>
      <c r="U80" s="2">
        <v>1</v>
      </c>
      <c r="V80" s="23">
        <f>U80*$C$5*$AE$76</f>
        <v>1.5</v>
      </c>
      <c r="X80" s="23">
        <f>W80*$C$5*$AE$76</f>
        <v>0</v>
      </c>
      <c r="Z80" s="23">
        <f>Y80*$C$5*$AE$76</f>
        <v>0</v>
      </c>
      <c r="AB80" s="23">
        <f>AA80*$C$5*$AE$76</f>
        <v>0</v>
      </c>
      <c r="AD80" s="23">
        <f>AC80*$C$5*$AE$76</f>
        <v>0</v>
      </c>
      <c r="AH80" s="3"/>
      <c r="AJ80" s="3"/>
      <c r="AK80" s="3"/>
      <c r="AL80" s="3"/>
      <c r="AP80" s="7" t="s">
        <v>10</v>
      </c>
      <c r="AQ80" s="8" t="s">
        <v>11</v>
      </c>
      <c r="AR80" s="20" t="s">
        <v>12</v>
      </c>
    </row>
    <row r="81" spans="4:44" ht="14.25" customHeight="1" x14ac:dyDescent="0.35">
      <c r="F81" s="2" t="s">
        <v>5</v>
      </c>
      <c r="J81" s="23">
        <f>I81*$C$6*$AE$76</f>
        <v>0</v>
      </c>
      <c r="K81" s="2">
        <v>0.5</v>
      </c>
      <c r="L81" s="23">
        <f>K81*$C$6*$AE$76</f>
        <v>0.375</v>
      </c>
      <c r="M81" s="2">
        <v>0.5</v>
      </c>
      <c r="N81" s="23">
        <f>M81*$C$6*$AE$76</f>
        <v>0.375</v>
      </c>
      <c r="P81" s="23">
        <f>O81*$C$6*$AE$76</f>
        <v>0</v>
      </c>
      <c r="R81" s="23">
        <f>Q81*$C$6*$AE$76</f>
        <v>0</v>
      </c>
      <c r="T81" s="23">
        <f>S81*$C$6*$AE$76</f>
        <v>0</v>
      </c>
      <c r="V81" s="23">
        <f>U81*$C$6*$AE$76</f>
        <v>0</v>
      </c>
      <c r="X81" s="23">
        <f>W81*$C$6*$AE$76</f>
        <v>0</v>
      </c>
      <c r="Z81" s="23">
        <f>Y81*$C$6*$AE$76</f>
        <v>0</v>
      </c>
      <c r="AB81" s="23">
        <f>AA81*$C$6*$AE$76</f>
        <v>0</v>
      </c>
      <c r="AD81" s="23">
        <f>AC81*$C$6*$AE$76</f>
        <v>0</v>
      </c>
      <c r="AH81" s="3"/>
      <c r="AJ81" s="3"/>
      <c r="AK81" s="3"/>
      <c r="AL81" s="3"/>
      <c r="AP81" s="12" t="s">
        <v>14</v>
      </c>
      <c r="AQ81" s="13">
        <v>120</v>
      </c>
      <c r="AR81" s="14" t="s">
        <v>40</v>
      </c>
    </row>
    <row r="82" spans="4:44" ht="14.25" customHeight="1" x14ac:dyDescent="0.35">
      <c r="F82" s="2" t="s">
        <v>23</v>
      </c>
      <c r="J82" s="23">
        <f>I82*$C$7*$AE$76</f>
        <v>0</v>
      </c>
      <c r="L82" s="23">
        <f>K82*$C$7*$AE$76</f>
        <v>0</v>
      </c>
      <c r="N82" s="23">
        <f>M82*$C$7*$AE$76</f>
        <v>0</v>
      </c>
      <c r="P82" s="23">
        <f>O82*$C$7*$AE$76</f>
        <v>0</v>
      </c>
      <c r="R82" s="23">
        <f>Q82*$C$7*$AE$76</f>
        <v>0</v>
      </c>
      <c r="T82" s="23">
        <f>S82*$C$7*$AE$76</f>
        <v>0</v>
      </c>
      <c r="V82" s="23">
        <f>U82*$C$7*$AE$76</f>
        <v>0</v>
      </c>
      <c r="X82" s="23">
        <f>W82*$C$7*$AE$76</f>
        <v>0</v>
      </c>
      <c r="Z82" s="23">
        <f>Y82*$C$7*$AE$76</f>
        <v>0</v>
      </c>
      <c r="AB82" s="23">
        <f>AA82*$C$7*$AE$76</f>
        <v>0</v>
      </c>
      <c r="AD82" s="23">
        <f>AC82*$C$7*$AE$76</f>
        <v>0</v>
      </c>
      <c r="AH82" s="3"/>
      <c r="AJ82" s="3"/>
      <c r="AK82" s="3"/>
      <c r="AL82" s="3"/>
      <c r="AP82" s="12" t="s">
        <v>22</v>
      </c>
      <c r="AQ82" s="13">
        <v>70</v>
      </c>
      <c r="AR82" s="14" t="s">
        <v>82</v>
      </c>
    </row>
    <row r="83" spans="4:44" ht="14.25" customHeight="1" x14ac:dyDescent="0.45">
      <c r="F83" s="15" t="s">
        <v>51</v>
      </c>
      <c r="J83" s="24">
        <f>SUM(J77:J82)</f>
        <v>0</v>
      </c>
      <c r="L83" s="24">
        <f>SUM(L77:L82)</f>
        <v>1.875</v>
      </c>
      <c r="M83" s="25"/>
      <c r="N83" s="24">
        <f>SUM(N77:N82)</f>
        <v>0.375</v>
      </c>
      <c r="O83" s="25"/>
      <c r="P83" s="24">
        <f>SUM(P77:P82)</f>
        <v>1.5</v>
      </c>
      <c r="Q83" s="25"/>
      <c r="R83" s="24">
        <f>SUM(R77:R82)</f>
        <v>0</v>
      </c>
      <c r="S83" s="25"/>
      <c r="T83" s="24">
        <f>SUM(T77:T82)</f>
        <v>0</v>
      </c>
      <c r="U83" s="25"/>
      <c r="V83" s="24">
        <f>SUM(V77:V82)</f>
        <v>2.25</v>
      </c>
      <c r="W83" s="25"/>
      <c r="X83" s="24">
        <f>SUM(X77:X82)</f>
        <v>1.5</v>
      </c>
      <c r="Y83" s="25"/>
      <c r="Z83" s="24">
        <f>SUM(Z77:Z82)</f>
        <v>0</v>
      </c>
      <c r="AA83" s="25"/>
      <c r="AB83" s="24">
        <f>SUM(AB77:AB82)</f>
        <v>0</v>
      </c>
      <c r="AC83" s="25"/>
      <c r="AD83" s="24">
        <f>SUM(AD77:AD82)</f>
        <v>0</v>
      </c>
      <c r="AH83" s="3"/>
      <c r="AJ83" s="3"/>
      <c r="AK83" s="3"/>
      <c r="AL83" s="3"/>
      <c r="AP83" s="12" t="s">
        <v>16</v>
      </c>
      <c r="AQ83" s="13">
        <v>60</v>
      </c>
      <c r="AR83" s="14" t="s">
        <v>17</v>
      </c>
    </row>
    <row r="84" spans="4:44" ht="14.25" customHeight="1" x14ac:dyDescent="0.35">
      <c r="AH84" s="3"/>
      <c r="AJ84" s="3"/>
      <c r="AK84" s="3"/>
      <c r="AL84" s="3"/>
      <c r="AP84" s="12" t="s">
        <v>25</v>
      </c>
      <c r="AQ84" s="13">
        <v>60</v>
      </c>
      <c r="AR84" s="14" t="s">
        <v>21</v>
      </c>
    </row>
    <row r="85" spans="4:44" ht="14.25" customHeight="1" x14ac:dyDescent="0.35">
      <c r="I85" s="160" t="s">
        <v>16</v>
      </c>
      <c r="J85" s="161"/>
      <c r="K85" s="160" t="s">
        <v>14</v>
      </c>
      <c r="L85" s="161"/>
      <c r="M85" s="160" t="s">
        <v>20</v>
      </c>
      <c r="N85" s="161"/>
      <c r="O85" s="160" t="s">
        <v>25</v>
      </c>
      <c r="P85" s="161"/>
      <c r="Q85" s="160" t="s">
        <v>26</v>
      </c>
      <c r="R85" s="161"/>
      <c r="S85" s="160" t="s">
        <v>27</v>
      </c>
      <c r="T85" s="161"/>
      <c r="U85" s="160" t="s">
        <v>28</v>
      </c>
      <c r="V85" s="161"/>
      <c r="W85" s="160" t="s">
        <v>41</v>
      </c>
      <c r="X85" s="161"/>
      <c r="Y85" s="160" t="s">
        <v>30</v>
      </c>
      <c r="Z85" s="161"/>
      <c r="AA85" s="160" t="s">
        <v>22</v>
      </c>
      <c r="AB85" s="161"/>
      <c r="AC85" s="160" t="s">
        <v>31</v>
      </c>
      <c r="AD85" s="161"/>
      <c r="AE85" s="2" t="s">
        <v>42</v>
      </c>
      <c r="AH85" s="3"/>
      <c r="AJ85" s="3"/>
      <c r="AK85" s="3"/>
      <c r="AL85" s="3"/>
      <c r="AP85" s="12" t="s">
        <v>27</v>
      </c>
      <c r="AQ85" s="13">
        <v>50</v>
      </c>
      <c r="AR85" s="14" t="s">
        <v>83</v>
      </c>
    </row>
    <row r="86" spans="4:44" ht="14.25" customHeight="1" x14ac:dyDescent="0.35">
      <c r="D86" s="26">
        <v>45967</v>
      </c>
      <c r="E86" s="2" t="s">
        <v>44</v>
      </c>
      <c r="I86" s="160">
        <v>1</v>
      </c>
      <c r="J86" s="161"/>
      <c r="K86" s="160">
        <v>1</v>
      </c>
      <c r="L86" s="161"/>
      <c r="M86" s="160">
        <v>1</v>
      </c>
      <c r="N86" s="161"/>
      <c r="O86" s="160">
        <v>1</v>
      </c>
      <c r="P86" s="161"/>
      <c r="Q86" s="160">
        <v>1</v>
      </c>
      <c r="R86" s="161"/>
      <c r="S86" s="160">
        <v>1</v>
      </c>
      <c r="T86" s="161"/>
      <c r="U86" s="160"/>
      <c r="V86" s="161"/>
      <c r="W86" s="160"/>
      <c r="X86" s="161"/>
      <c r="Y86" s="160"/>
      <c r="Z86" s="161"/>
      <c r="AA86" s="160">
        <v>1</v>
      </c>
      <c r="AB86" s="161"/>
      <c r="AC86" s="160">
        <v>1</v>
      </c>
      <c r="AD86" s="161"/>
      <c r="AE86" s="22">
        <f>SUM(I86:AD86)</f>
        <v>8</v>
      </c>
      <c r="AH86" s="3"/>
      <c r="AJ86" s="3"/>
      <c r="AK86" s="3"/>
      <c r="AL86" s="3"/>
      <c r="AP86" s="17" t="s">
        <v>35</v>
      </c>
      <c r="AQ86" s="18">
        <v>360</v>
      </c>
      <c r="AR86" s="19" t="s">
        <v>84</v>
      </c>
    </row>
    <row r="87" spans="4:44" ht="14.25" customHeight="1" x14ac:dyDescent="0.35">
      <c r="E87" s="2" t="s">
        <v>46</v>
      </c>
      <c r="F87" s="2" t="s">
        <v>47</v>
      </c>
      <c r="J87" s="23">
        <f>I87*$C$5*$AE$86</f>
        <v>0</v>
      </c>
      <c r="L87" s="23">
        <f>K87*$C$5*$AE$86</f>
        <v>0</v>
      </c>
      <c r="N87" s="23">
        <f>M87*$C$5*$AE$86</f>
        <v>0</v>
      </c>
      <c r="O87" s="2">
        <v>1</v>
      </c>
      <c r="P87" s="23">
        <f>O87*$C$5*$AE$86</f>
        <v>2</v>
      </c>
      <c r="R87" s="23">
        <f>Q87*$C$5*$AE$86</f>
        <v>0</v>
      </c>
      <c r="T87" s="23">
        <f>S87*$C$5*$AE$86</f>
        <v>0</v>
      </c>
      <c r="V87" s="23">
        <f>U87*$C$5*$AE$86</f>
        <v>0</v>
      </c>
      <c r="X87" s="23">
        <f>W87*$C$5*$AE$86</f>
        <v>0</v>
      </c>
      <c r="Z87" s="23">
        <f>Y87*$C$5*$AE$86</f>
        <v>0</v>
      </c>
      <c r="AA87" s="2">
        <v>1</v>
      </c>
      <c r="AB87" s="23">
        <f>AA87*$C$5*$AE$86</f>
        <v>2</v>
      </c>
      <c r="AD87" s="23">
        <f>AC87*$C$5*$AE$86</f>
        <v>0</v>
      </c>
      <c r="AH87" s="3"/>
      <c r="AJ87" s="3"/>
      <c r="AK87" s="3"/>
      <c r="AL87" s="3"/>
    </row>
    <row r="88" spans="4:44" ht="14.25" customHeight="1" x14ac:dyDescent="0.35">
      <c r="F88" s="2" t="s">
        <v>5</v>
      </c>
      <c r="J88" s="23">
        <f>I88*$C$6*$AE$86</f>
        <v>0</v>
      </c>
      <c r="L88" s="23">
        <f>K88*$C$6*$AE$86</f>
        <v>0</v>
      </c>
      <c r="N88" s="23">
        <f>M88*$C$6*$AE$86</f>
        <v>0</v>
      </c>
      <c r="P88" s="23">
        <f>O88*$C$6*$AE$86</f>
        <v>0</v>
      </c>
      <c r="Q88" s="2">
        <v>1</v>
      </c>
      <c r="R88" s="23">
        <f>Q88*$C$6*$AE$86</f>
        <v>1</v>
      </c>
      <c r="T88" s="23">
        <f>S88*$C$6*$AE$86</f>
        <v>0</v>
      </c>
      <c r="V88" s="23">
        <f>U88*$C$6*$AE$86</f>
        <v>0</v>
      </c>
      <c r="X88" s="23">
        <f>W88*$C$6*$AE$86</f>
        <v>0</v>
      </c>
      <c r="Z88" s="23">
        <f>Y88*$C$6*$AE$86</f>
        <v>0</v>
      </c>
      <c r="AB88" s="23">
        <f>AA88*$C$6*$AE$86</f>
        <v>0</v>
      </c>
      <c r="AD88" s="23">
        <f>AC88*$C$6*$AE$86</f>
        <v>0</v>
      </c>
      <c r="AH88" s="3"/>
      <c r="AJ88" s="3"/>
      <c r="AK88" s="3"/>
      <c r="AL88" s="3"/>
      <c r="AP88" s="4" t="s">
        <v>85</v>
      </c>
      <c r="AQ88" s="5"/>
      <c r="AR88" s="5"/>
    </row>
    <row r="89" spans="4:44" ht="14.25" customHeight="1" x14ac:dyDescent="0.35">
      <c r="F89" s="2" t="s">
        <v>23</v>
      </c>
      <c r="J89" s="23">
        <f>I89*$C$7*$AE$86</f>
        <v>0</v>
      </c>
      <c r="L89" s="23">
        <f>K89*$C$7*$AE$86</f>
        <v>0</v>
      </c>
      <c r="N89" s="23">
        <f>M89*$C$7*$AE$86</f>
        <v>0</v>
      </c>
      <c r="P89" s="23">
        <f>O89*$C$7*$AE$86</f>
        <v>0</v>
      </c>
      <c r="R89" s="23">
        <f>Q89*$C$7*$AE$86</f>
        <v>0</v>
      </c>
      <c r="S89" s="2">
        <v>1</v>
      </c>
      <c r="T89" s="23">
        <f>S89*$C$7*$AE$86</f>
        <v>0.66666666666666663</v>
      </c>
      <c r="V89" s="23">
        <f>U89*$C$7*$AE$86</f>
        <v>0</v>
      </c>
      <c r="X89" s="23">
        <f>W89*$C$7*$AE$86</f>
        <v>0</v>
      </c>
      <c r="Z89" s="23">
        <f>Y89*$C$7*$AE$86</f>
        <v>0</v>
      </c>
      <c r="AB89" s="23">
        <f>AA89*$C$7*$AE$86</f>
        <v>0</v>
      </c>
      <c r="AD89" s="23">
        <f>AC89*$C$7*$AE$86</f>
        <v>0</v>
      </c>
      <c r="AH89" s="3"/>
      <c r="AJ89" s="3"/>
      <c r="AK89" s="3"/>
      <c r="AL89" s="3"/>
      <c r="AP89" s="7" t="s">
        <v>10</v>
      </c>
      <c r="AQ89" s="8" t="s">
        <v>11</v>
      </c>
      <c r="AR89" s="20" t="s">
        <v>12</v>
      </c>
    </row>
    <row r="90" spans="4:44" ht="14.25" customHeight="1" x14ac:dyDescent="0.35">
      <c r="E90" s="2" t="s">
        <v>49</v>
      </c>
      <c r="F90" s="2" t="s">
        <v>47</v>
      </c>
      <c r="J90" s="23">
        <f>I90*$C$5*$AE$86</f>
        <v>0</v>
      </c>
      <c r="L90" s="23">
        <f>K90*$C$5*$AE$86</f>
        <v>0</v>
      </c>
      <c r="M90" s="2">
        <v>1</v>
      </c>
      <c r="N90" s="23">
        <f>M90*$C$5*$AE$86</f>
        <v>2</v>
      </c>
      <c r="O90" s="2">
        <v>1</v>
      </c>
      <c r="P90" s="23">
        <f>O90*$C$5*$AE$86</f>
        <v>2</v>
      </c>
      <c r="R90" s="23">
        <f>Q90*$C$5*$AE$86</f>
        <v>0</v>
      </c>
      <c r="T90" s="23">
        <f>S90*$C$5*$AE$86</f>
        <v>0</v>
      </c>
      <c r="V90" s="23">
        <f>U90*$C$5*$AE$86</f>
        <v>0</v>
      </c>
      <c r="X90" s="23">
        <f>W90*$C$5*$AE$86</f>
        <v>0</v>
      </c>
      <c r="Z90" s="23">
        <f>Y90*$C$5*$AE$86</f>
        <v>0</v>
      </c>
      <c r="AB90" s="23">
        <f>AA90*$C$5*$AE$86</f>
        <v>0</v>
      </c>
      <c r="AD90" s="23">
        <f>AC90*$C$5*$AE$86</f>
        <v>0</v>
      </c>
      <c r="AH90" s="3"/>
      <c r="AJ90" s="3"/>
      <c r="AK90" s="3"/>
      <c r="AL90" s="3"/>
      <c r="AP90" s="12" t="s">
        <v>22</v>
      </c>
      <c r="AQ90" s="13">
        <v>70</v>
      </c>
      <c r="AR90" s="14" t="s">
        <v>86</v>
      </c>
    </row>
    <row r="91" spans="4:44" ht="14.25" customHeight="1" x14ac:dyDescent="0.35">
      <c r="F91" s="2" t="s">
        <v>5</v>
      </c>
      <c r="I91" s="2">
        <v>1</v>
      </c>
      <c r="J91" s="23">
        <f>I91*$C$6*$AE$86</f>
        <v>1</v>
      </c>
      <c r="K91" s="2">
        <v>1</v>
      </c>
      <c r="L91" s="23">
        <f>K91*$C$6*$AE$86</f>
        <v>1</v>
      </c>
      <c r="N91" s="23">
        <f>M91*$C$6*$AE$86</f>
        <v>0</v>
      </c>
      <c r="P91" s="23">
        <f>O91*$C$6*$AE$86</f>
        <v>0</v>
      </c>
      <c r="R91" s="23">
        <f>Q91*$C$6*$AE$86</f>
        <v>0</v>
      </c>
      <c r="T91" s="23">
        <f>S91*$C$6*$AE$86</f>
        <v>0</v>
      </c>
      <c r="V91" s="23">
        <f>U91*$C$6*$AE$86</f>
        <v>0</v>
      </c>
      <c r="X91" s="23">
        <f>W91*$C$6*$AE$86</f>
        <v>0</v>
      </c>
      <c r="Z91" s="23">
        <f>Y91*$C$6*$AE$86</f>
        <v>0</v>
      </c>
      <c r="AB91" s="23">
        <f>AA91*$C$6*$AE$86</f>
        <v>0</v>
      </c>
      <c r="AD91" s="23">
        <f>AC91*$C$6*$AE$86</f>
        <v>0</v>
      </c>
      <c r="AH91" s="3"/>
      <c r="AJ91" s="3"/>
      <c r="AK91" s="3"/>
      <c r="AL91" s="3"/>
      <c r="AP91" s="12" t="s">
        <v>16</v>
      </c>
      <c r="AQ91" s="13">
        <v>50</v>
      </c>
      <c r="AR91" s="14" t="s">
        <v>21</v>
      </c>
    </row>
    <row r="92" spans="4:44" ht="14.25" customHeight="1" x14ac:dyDescent="0.35">
      <c r="F92" s="2" t="s">
        <v>23</v>
      </c>
      <c r="J92" s="23">
        <f>I92*$C$7*$AE$86</f>
        <v>0</v>
      </c>
      <c r="L92" s="23">
        <f>K92*$C$7*$AE$86</f>
        <v>0</v>
      </c>
      <c r="M92" s="2">
        <v>0</v>
      </c>
      <c r="N92" s="23">
        <f>M92*$C$7*$AE$86</f>
        <v>0</v>
      </c>
      <c r="P92" s="23">
        <f>O92*$C$7*$AE$86</f>
        <v>0</v>
      </c>
      <c r="R92" s="23">
        <f>Q92*$C$7*$AE$86</f>
        <v>0</v>
      </c>
      <c r="T92" s="23">
        <f>S92*$C$7*$AE$86</f>
        <v>0</v>
      </c>
      <c r="V92" s="23">
        <f>U92*$C$7*$AE$86</f>
        <v>0</v>
      </c>
      <c r="X92" s="23">
        <f>W92*$C$7*$AE$86</f>
        <v>0</v>
      </c>
      <c r="Z92" s="23">
        <f>Y92*$C$7*$AE$86</f>
        <v>0</v>
      </c>
      <c r="AB92" s="23">
        <f>AA92*$C$7*$AE$86</f>
        <v>0</v>
      </c>
      <c r="AD92" s="23">
        <f>AC92*$C$7*$AE$86</f>
        <v>0</v>
      </c>
      <c r="AH92" s="3"/>
      <c r="AJ92" s="3"/>
      <c r="AK92" s="3"/>
      <c r="AL92" s="3"/>
      <c r="AP92" s="12" t="s">
        <v>29</v>
      </c>
      <c r="AQ92" s="13">
        <v>50</v>
      </c>
      <c r="AR92" s="14" t="s">
        <v>17</v>
      </c>
    </row>
    <row r="93" spans="4:44" ht="14.25" customHeight="1" x14ac:dyDescent="0.45">
      <c r="F93" s="15" t="s">
        <v>51</v>
      </c>
      <c r="J93" s="24">
        <f>SUM(J87:J92)</f>
        <v>1</v>
      </c>
      <c r="L93" s="24">
        <f>SUM(L87:L92)</f>
        <v>1</v>
      </c>
      <c r="M93" s="25"/>
      <c r="N93" s="24">
        <f>SUM(N87:N92)</f>
        <v>2</v>
      </c>
      <c r="O93" s="25"/>
      <c r="P93" s="24">
        <f>SUM(P87:P92)</f>
        <v>4</v>
      </c>
      <c r="Q93" s="25"/>
      <c r="R93" s="24">
        <f>SUM(R87:R92)</f>
        <v>1</v>
      </c>
      <c r="S93" s="25"/>
      <c r="T93" s="24">
        <f>SUM(T87:T92)</f>
        <v>0.66666666666666663</v>
      </c>
      <c r="U93" s="25"/>
      <c r="V93" s="24">
        <f>SUM(V87:V92)</f>
        <v>0</v>
      </c>
      <c r="W93" s="25"/>
      <c r="X93" s="24">
        <f>SUM(X87:X92)</f>
        <v>0</v>
      </c>
      <c r="Y93" s="25"/>
      <c r="Z93" s="24">
        <f>SUM(Z87:Z92)</f>
        <v>0</v>
      </c>
      <c r="AA93" s="25"/>
      <c r="AB93" s="24">
        <f>SUM(AB87:AB92)</f>
        <v>2</v>
      </c>
      <c r="AC93" s="25"/>
      <c r="AD93" s="24">
        <f>SUM(AD87:AD92)</f>
        <v>0</v>
      </c>
      <c r="AH93" s="3"/>
      <c r="AJ93" s="3"/>
      <c r="AK93" s="3"/>
      <c r="AL93" s="3"/>
      <c r="AP93" s="12" t="s">
        <v>31</v>
      </c>
      <c r="AQ93" s="13">
        <v>50</v>
      </c>
      <c r="AR93" s="14" t="s">
        <v>17</v>
      </c>
    </row>
    <row r="94" spans="4:44" ht="14.25" customHeight="1" x14ac:dyDescent="0.35">
      <c r="AH94" s="3"/>
      <c r="AJ94" s="3"/>
      <c r="AK94" s="3"/>
      <c r="AL94" s="3"/>
      <c r="AP94" s="12" t="s">
        <v>20</v>
      </c>
      <c r="AQ94" s="13">
        <v>40</v>
      </c>
      <c r="AR94" s="14" t="s">
        <v>45</v>
      </c>
    </row>
    <row r="95" spans="4:44" ht="14.25" customHeight="1" x14ac:dyDescent="0.35">
      <c r="I95" s="160" t="s">
        <v>16</v>
      </c>
      <c r="J95" s="161"/>
      <c r="K95" s="160" t="s">
        <v>14</v>
      </c>
      <c r="L95" s="161"/>
      <c r="M95" s="160" t="s">
        <v>20</v>
      </c>
      <c r="N95" s="161"/>
      <c r="O95" s="160" t="s">
        <v>25</v>
      </c>
      <c r="P95" s="161"/>
      <c r="Q95" s="160" t="s">
        <v>26</v>
      </c>
      <c r="R95" s="161"/>
      <c r="S95" s="160" t="s">
        <v>27</v>
      </c>
      <c r="T95" s="161"/>
      <c r="U95" s="160" t="s">
        <v>28</v>
      </c>
      <c r="V95" s="161"/>
      <c r="W95" s="160" t="s">
        <v>41</v>
      </c>
      <c r="X95" s="161"/>
      <c r="Y95" s="160" t="s">
        <v>30</v>
      </c>
      <c r="Z95" s="161"/>
      <c r="AA95" s="160" t="s">
        <v>22</v>
      </c>
      <c r="AB95" s="161"/>
      <c r="AC95" s="160" t="s">
        <v>31</v>
      </c>
      <c r="AD95" s="161"/>
      <c r="AE95" s="2" t="s">
        <v>42</v>
      </c>
      <c r="AH95" s="3"/>
      <c r="AJ95" s="3"/>
      <c r="AK95" s="3"/>
      <c r="AL95" s="3"/>
      <c r="AP95" s="12" t="s">
        <v>26</v>
      </c>
      <c r="AQ95" s="13">
        <v>40</v>
      </c>
      <c r="AR95" s="14" t="s">
        <v>32</v>
      </c>
    </row>
    <row r="96" spans="4:44" ht="14.25" customHeight="1" x14ac:dyDescent="0.35">
      <c r="D96" s="26">
        <v>46007</v>
      </c>
      <c r="E96" s="2" t="s">
        <v>44</v>
      </c>
      <c r="I96" s="160">
        <v>1</v>
      </c>
      <c r="J96" s="161"/>
      <c r="K96" s="160">
        <v>1</v>
      </c>
      <c r="L96" s="161"/>
      <c r="M96" s="160">
        <v>1</v>
      </c>
      <c r="N96" s="161"/>
      <c r="O96" s="160">
        <v>1</v>
      </c>
      <c r="P96" s="161"/>
      <c r="Q96" s="160">
        <v>1</v>
      </c>
      <c r="R96" s="161"/>
      <c r="S96" s="160">
        <v>1</v>
      </c>
      <c r="T96" s="161"/>
      <c r="U96" s="160">
        <v>1</v>
      </c>
      <c r="V96" s="161"/>
      <c r="W96" s="160">
        <v>1</v>
      </c>
      <c r="X96" s="161"/>
      <c r="Y96" s="160"/>
      <c r="Z96" s="161"/>
      <c r="AA96" s="160">
        <v>1</v>
      </c>
      <c r="AB96" s="161"/>
      <c r="AC96" s="160"/>
      <c r="AD96" s="161"/>
      <c r="AE96" s="22">
        <f>SUM(I96:AD96)</f>
        <v>9</v>
      </c>
      <c r="AH96" s="3"/>
      <c r="AJ96" s="3"/>
      <c r="AK96" s="3"/>
      <c r="AL96" s="3"/>
      <c r="AP96" s="12" t="s">
        <v>27</v>
      </c>
      <c r="AQ96" s="13">
        <v>20</v>
      </c>
      <c r="AR96" s="14" t="s">
        <v>87</v>
      </c>
    </row>
    <row r="97" spans="4:45" ht="14.25" customHeight="1" x14ac:dyDescent="0.35">
      <c r="E97" s="2" t="s">
        <v>46</v>
      </c>
      <c r="F97" s="2" t="s">
        <v>47</v>
      </c>
      <c r="I97" s="2">
        <v>1</v>
      </c>
      <c r="J97" s="23">
        <f>I97*$C$5*$AE$96</f>
        <v>2.25</v>
      </c>
      <c r="K97" s="2">
        <v>1</v>
      </c>
      <c r="L97" s="23">
        <f>K97*$C$5*$AE$96</f>
        <v>2.25</v>
      </c>
      <c r="N97" s="23">
        <f>M97*$C$5*$AE$96</f>
        <v>0</v>
      </c>
      <c r="P97" s="23">
        <f>O97*$C$5*$AE$96</f>
        <v>0</v>
      </c>
      <c r="R97" s="23">
        <f>Q97*$C$5*$AE$96</f>
        <v>0</v>
      </c>
      <c r="T97" s="23">
        <f>S97*$C$5*$AE$96</f>
        <v>0</v>
      </c>
      <c r="V97" s="23">
        <f>U97*$C$5*$AE$96</f>
        <v>0</v>
      </c>
      <c r="X97" s="23">
        <f>W97*$C$5*$AE$96</f>
        <v>0</v>
      </c>
      <c r="Z97" s="23">
        <f>Y97*$C$5*$AE$96</f>
        <v>0</v>
      </c>
      <c r="AB97" s="23">
        <f>AA97*$C$5*$AE$96</f>
        <v>0</v>
      </c>
      <c r="AD97" s="23">
        <f>AC97*$C$5*$AE$96</f>
        <v>0</v>
      </c>
      <c r="AH97" s="3"/>
      <c r="AJ97" s="3"/>
      <c r="AK97" s="3"/>
      <c r="AL97" s="3"/>
      <c r="AP97" s="17" t="s">
        <v>35</v>
      </c>
      <c r="AQ97" s="18">
        <v>320</v>
      </c>
      <c r="AR97" s="19" t="s">
        <v>71</v>
      </c>
    </row>
    <row r="98" spans="4:45" ht="14.25" customHeight="1" x14ac:dyDescent="0.35">
      <c r="F98" s="2" t="s">
        <v>5</v>
      </c>
      <c r="J98" s="23">
        <f>I98*$C$6*$AE$96</f>
        <v>0</v>
      </c>
      <c r="L98" s="23">
        <f>K98*$C$6*$AE$96</f>
        <v>0</v>
      </c>
      <c r="N98" s="23">
        <f>M98*$C$6*$AE$96</f>
        <v>0</v>
      </c>
      <c r="P98" s="23">
        <f>O98*$C$6*$AE$96</f>
        <v>0</v>
      </c>
      <c r="R98" s="23">
        <f>Q98*$C$6*$AE$96</f>
        <v>0</v>
      </c>
      <c r="T98" s="23">
        <f>S98*$C$6*$AE$96</f>
        <v>0</v>
      </c>
      <c r="V98" s="23">
        <f>U98*$C$6*$AE$96</f>
        <v>0</v>
      </c>
      <c r="X98" s="23">
        <f>W98*$C$6*$AE$96</f>
        <v>0</v>
      </c>
      <c r="Z98" s="23">
        <f>Y98*$C$6*$AE$96</f>
        <v>0</v>
      </c>
      <c r="AA98" s="2">
        <v>1</v>
      </c>
      <c r="AB98" s="23">
        <f>AA98*$C$6*$AE$96</f>
        <v>1.125</v>
      </c>
      <c r="AD98" s="23">
        <f>AC98*$C$6*$AE$96</f>
        <v>0</v>
      </c>
      <c r="AH98" s="3"/>
      <c r="AJ98" s="3"/>
      <c r="AK98" s="3"/>
      <c r="AL98" s="3"/>
    </row>
    <row r="99" spans="4:45" ht="14.25" customHeight="1" x14ac:dyDescent="0.35">
      <c r="F99" s="2" t="s">
        <v>23</v>
      </c>
      <c r="J99" s="23">
        <f>I99*$C$7*$AE$96</f>
        <v>0</v>
      </c>
      <c r="L99" s="23">
        <f>K99*$C$7*$AE$96</f>
        <v>0</v>
      </c>
      <c r="N99" s="23">
        <f>M99*$C$7*$AE$96</f>
        <v>0</v>
      </c>
      <c r="P99" s="23">
        <f>O99*$C$7*$AE$96</f>
        <v>0</v>
      </c>
      <c r="R99" s="23">
        <f>Q99*$C$7*$AE$96</f>
        <v>0</v>
      </c>
      <c r="S99" s="2">
        <v>1</v>
      </c>
      <c r="T99" s="23">
        <f>S99*$C$7*$AE$96</f>
        <v>0.75</v>
      </c>
      <c r="V99" s="23">
        <f>U99*$C$7*$AE$96</f>
        <v>0</v>
      </c>
      <c r="X99" s="23">
        <f>W99*$C$7*$AE$96</f>
        <v>0</v>
      </c>
      <c r="Z99" s="23">
        <f>Y99*$C$7*$AE$96</f>
        <v>0</v>
      </c>
      <c r="AB99" s="23">
        <f>AA99*$C$7*$AE$96</f>
        <v>0</v>
      </c>
      <c r="AD99" s="23">
        <f>AC99*$C$7*$AE$96</f>
        <v>0</v>
      </c>
      <c r="AH99" s="3"/>
      <c r="AJ99" s="3"/>
      <c r="AK99" s="3"/>
      <c r="AL99" s="3"/>
    </row>
    <row r="100" spans="4:45" ht="14.25" customHeight="1" x14ac:dyDescent="0.35">
      <c r="F100" s="2" t="s">
        <v>72</v>
      </c>
      <c r="J100" s="23">
        <f>I100*$C$8*$AE$96</f>
        <v>0</v>
      </c>
      <c r="L100" s="23">
        <f>K100*$C$8*$AE$96</f>
        <v>0</v>
      </c>
      <c r="N100" s="23">
        <f>M100*$C$8*$AE$96</f>
        <v>0</v>
      </c>
      <c r="P100" s="23">
        <f>O100*$C$8*$AE$96</f>
        <v>0</v>
      </c>
      <c r="R100" s="23">
        <f>Q100*$C$8*$AE$96</f>
        <v>0</v>
      </c>
      <c r="T100" s="23">
        <f>S100*$C$8*$AE$96</f>
        <v>0</v>
      </c>
      <c r="V100" s="23">
        <f>U100*$C$8*$AE$96</f>
        <v>0</v>
      </c>
      <c r="X100" s="23">
        <f>W100*$C$8*$AE$96</f>
        <v>0</v>
      </c>
      <c r="Z100" s="23">
        <f>Y100*$C$8*$AE$96</f>
        <v>0</v>
      </c>
      <c r="AB100" s="23">
        <f>AA100*$C$8*$AE$96</f>
        <v>0</v>
      </c>
      <c r="AD100" s="23">
        <f>AC100*$C$8*$AE$96</f>
        <v>0</v>
      </c>
      <c r="AH100" s="3"/>
      <c r="AJ100" s="3"/>
      <c r="AK100" s="3"/>
      <c r="AL100" s="3"/>
      <c r="AP100" s="4" t="s">
        <v>88</v>
      </c>
      <c r="AQ100" s="5"/>
      <c r="AR100" s="5"/>
      <c r="AS100" s="5"/>
    </row>
    <row r="101" spans="4:45" ht="14.25" customHeight="1" x14ac:dyDescent="0.35">
      <c r="E101" s="2" t="s">
        <v>49</v>
      </c>
      <c r="F101" s="2" t="s">
        <v>47</v>
      </c>
      <c r="J101" s="23">
        <f>I101*$C$5*$AE$96</f>
        <v>0</v>
      </c>
      <c r="K101" s="2">
        <v>1</v>
      </c>
      <c r="L101" s="23">
        <f>K101*$C$5*$AE$96</f>
        <v>2.25</v>
      </c>
      <c r="N101" s="23">
        <f>M101*$C$5*$AE$96</f>
        <v>0</v>
      </c>
      <c r="O101" s="2">
        <v>1</v>
      </c>
      <c r="P101" s="23">
        <f>O101*$C$5*$AE$96</f>
        <v>2.25</v>
      </c>
      <c r="R101" s="23">
        <f>Q101*$C$5*$AE$96</f>
        <v>0</v>
      </c>
      <c r="T101" s="23">
        <f>S101*$C$5*$AE$96</f>
        <v>0</v>
      </c>
      <c r="V101" s="23">
        <f>U101*$C$5*$AE$96</f>
        <v>0</v>
      </c>
      <c r="X101" s="23">
        <f>W101*$C$5*$AE$96</f>
        <v>0</v>
      </c>
      <c r="Z101" s="23">
        <f>Y101*$C$5*$AE$96</f>
        <v>0</v>
      </c>
      <c r="AB101" s="23">
        <f>AA101*$C$5*$AE$96</f>
        <v>0</v>
      </c>
      <c r="AD101" s="23">
        <f>AC101*$C$5*$AE$96</f>
        <v>0</v>
      </c>
      <c r="AH101" s="3"/>
      <c r="AJ101" s="3"/>
      <c r="AK101" s="3"/>
      <c r="AL101" s="3"/>
      <c r="AP101" s="27" t="s">
        <v>89</v>
      </c>
      <c r="AQ101" s="27" t="s">
        <v>10</v>
      </c>
      <c r="AR101" s="27" t="s">
        <v>90</v>
      </c>
      <c r="AS101" s="27" t="s">
        <v>91</v>
      </c>
    </row>
    <row r="102" spans="4:45" ht="14.25" customHeight="1" x14ac:dyDescent="0.35">
      <c r="F102" s="2" t="s">
        <v>5</v>
      </c>
      <c r="J102" s="23">
        <f>I102*$C$6*$AE$96</f>
        <v>0</v>
      </c>
      <c r="L102" s="23">
        <f>K102*$C$6*$AE$96</f>
        <v>0</v>
      </c>
      <c r="N102" s="23">
        <f>M102*$C$6*$AE$96</f>
        <v>0</v>
      </c>
      <c r="P102" s="23">
        <f>O102*$C$6*$AE$96</f>
        <v>0</v>
      </c>
      <c r="R102" s="23">
        <f>Q102*$C$6*$AE$96</f>
        <v>0</v>
      </c>
      <c r="S102" s="2">
        <v>1</v>
      </c>
      <c r="T102" s="23">
        <f>S102*$C$6*$AE$96</f>
        <v>1.125</v>
      </c>
      <c r="V102" s="23">
        <f>U102*$C$6*$AE$96</f>
        <v>0</v>
      </c>
      <c r="X102" s="23">
        <f>W102*$C$6*$AE$96</f>
        <v>0</v>
      </c>
      <c r="Z102" s="23">
        <f>Y102*$C$6*$AE$96</f>
        <v>0</v>
      </c>
      <c r="AA102" s="2">
        <v>1</v>
      </c>
      <c r="AB102" s="23">
        <f>AA102*$C$6*$AE$96</f>
        <v>1.125</v>
      </c>
      <c r="AD102" s="23">
        <f>AC102*$C$6*$AE$96</f>
        <v>0</v>
      </c>
      <c r="AH102" s="3"/>
      <c r="AJ102" s="3"/>
      <c r="AK102" s="3"/>
      <c r="AL102" s="3"/>
      <c r="AP102" s="2">
        <v>1</v>
      </c>
      <c r="AQ102" s="2" t="s">
        <v>22</v>
      </c>
      <c r="AR102" s="28">
        <v>490</v>
      </c>
      <c r="AS102" s="2">
        <v>10</v>
      </c>
    </row>
    <row r="103" spans="4:45" ht="14.25" customHeight="1" x14ac:dyDescent="0.35">
      <c r="F103" s="2" t="s">
        <v>23</v>
      </c>
      <c r="J103" s="23">
        <f>I103*$C$7*$AE$96</f>
        <v>0</v>
      </c>
      <c r="L103" s="23">
        <f>K103*$C$7*$AE$96</f>
        <v>0</v>
      </c>
      <c r="N103" s="23">
        <f>M103*$C$7*$AE$96</f>
        <v>0</v>
      </c>
      <c r="P103" s="23">
        <f>O103*$C$7*$AE$96</f>
        <v>0</v>
      </c>
      <c r="R103" s="23">
        <f>Q103*$C$7*$AE$96</f>
        <v>0</v>
      </c>
      <c r="T103" s="23">
        <f>S103*$C$7*$AE$96</f>
        <v>0</v>
      </c>
      <c r="V103" s="23">
        <f>U103*$C$7*$AE$96</f>
        <v>0</v>
      </c>
      <c r="X103" s="23">
        <f>W103*$C$7*$AE$96</f>
        <v>0</v>
      </c>
      <c r="Z103" s="23">
        <f>Y103*$C$7*$AE$96</f>
        <v>0</v>
      </c>
      <c r="AB103" s="23">
        <f>AA103*$C$7*$AE$96</f>
        <v>0</v>
      </c>
      <c r="AD103" s="23">
        <f>AC103*$C$7*$AE$96</f>
        <v>0</v>
      </c>
      <c r="AH103" s="3"/>
      <c r="AJ103" s="3"/>
      <c r="AK103" s="3"/>
      <c r="AL103" s="3"/>
      <c r="AP103" s="2">
        <v>1</v>
      </c>
      <c r="AQ103" s="2" t="s">
        <v>14</v>
      </c>
      <c r="AR103" s="28">
        <v>490</v>
      </c>
      <c r="AS103" s="2">
        <v>10</v>
      </c>
    </row>
    <row r="104" spans="4:45" ht="14.25" customHeight="1" x14ac:dyDescent="0.35">
      <c r="F104" s="2" t="s">
        <v>72</v>
      </c>
      <c r="J104" s="23">
        <f>I104*$C$8*$AE$96</f>
        <v>0</v>
      </c>
      <c r="L104" s="23">
        <f>K104*$C$8*$AE$96</f>
        <v>0</v>
      </c>
      <c r="N104" s="23">
        <f>M104*$C$8*$AE$96</f>
        <v>0</v>
      </c>
      <c r="P104" s="23">
        <f>O104*$C$8*$AE$96</f>
        <v>0</v>
      </c>
      <c r="R104" s="23">
        <f>Q104*$C$8*$AE$96</f>
        <v>0</v>
      </c>
      <c r="T104" s="23">
        <f>S104*$C$8*$AE$96</f>
        <v>0</v>
      </c>
      <c r="V104" s="23">
        <f>U104*$C$8*$AE$96</f>
        <v>0</v>
      </c>
      <c r="X104" s="23">
        <f>W104*$C$8*$AE$96</f>
        <v>0</v>
      </c>
      <c r="Z104" s="23">
        <f>Y104*$C$8*$AE$96</f>
        <v>0</v>
      </c>
      <c r="AB104" s="23">
        <f>AA104*$C$8*$AE$96</f>
        <v>0</v>
      </c>
      <c r="AD104" s="23">
        <f>AC104*$C$8*$AE$96</f>
        <v>0</v>
      </c>
      <c r="AH104" s="3"/>
      <c r="AJ104" s="3"/>
      <c r="AK104" s="3"/>
      <c r="AL104" s="3"/>
      <c r="AP104" s="2">
        <v>3</v>
      </c>
      <c r="AQ104" s="2" t="s">
        <v>25</v>
      </c>
      <c r="AR104" s="28">
        <v>396.67</v>
      </c>
      <c r="AS104" s="2">
        <v>9</v>
      </c>
    </row>
    <row r="105" spans="4:45" ht="14.25" customHeight="1" x14ac:dyDescent="0.45">
      <c r="F105" s="15" t="s">
        <v>51</v>
      </c>
      <c r="J105" s="24">
        <f>SUM(J97:J104)</f>
        <v>2.25</v>
      </c>
      <c r="L105" s="24">
        <f>SUM(L97:L104)</f>
        <v>4.5</v>
      </c>
      <c r="M105" s="25"/>
      <c r="N105" s="24">
        <f>SUM(N97:N104)</f>
        <v>0</v>
      </c>
      <c r="O105" s="25"/>
      <c r="P105" s="24">
        <f>SUM(P97:P104)</f>
        <v>2.25</v>
      </c>
      <c r="Q105" s="25"/>
      <c r="R105" s="24">
        <f>SUM(R97:R104)</f>
        <v>0</v>
      </c>
      <c r="S105" s="25"/>
      <c r="T105" s="24">
        <f>SUM(T97:T104)</f>
        <v>1.875</v>
      </c>
      <c r="U105" s="25"/>
      <c r="V105" s="24">
        <f>SUM(V97:V104)</f>
        <v>0</v>
      </c>
      <c r="W105" s="25"/>
      <c r="X105" s="24">
        <f>SUM(X97:X104)</f>
        <v>0</v>
      </c>
      <c r="Y105" s="25"/>
      <c r="Z105" s="24">
        <f>SUM(Z97:Z104)</f>
        <v>0</v>
      </c>
      <c r="AA105" s="25"/>
      <c r="AB105" s="24">
        <f>SUM(AB97:AB104)</f>
        <v>2.25</v>
      </c>
      <c r="AC105" s="25"/>
      <c r="AD105" s="24">
        <f>SUM(AD97:AD104)</f>
        <v>0</v>
      </c>
      <c r="AH105" s="3"/>
      <c r="AJ105" s="3"/>
      <c r="AK105" s="3"/>
      <c r="AL105" s="3"/>
      <c r="AP105" s="2">
        <v>4</v>
      </c>
      <c r="AQ105" s="2" t="s">
        <v>16</v>
      </c>
      <c r="AR105" s="28">
        <v>376.67</v>
      </c>
      <c r="AS105" s="2">
        <v>9</v>
      </c>
    </row>
    <row r="106" spans="4:45" ht="14.25" customHeight="1" x14ac:dyDescent="0.35">
      <c r="AH106" s="3"/>
      <c r="AJ106" s="3"/>
      <c r="AK106" s="3"/>
      <c r="AL106" s="3"/>
      <c r="AP106" s="2">
        <v>5</v>
      </c>
      <c r="AQ106" s="2" t="s">
        <v>20</v>
      </c>
      <c r="AR106" s="28">
        <v>310</v>
      </c>
      <c r="AS106" s="2">
        <v>8</v>
      </c>
    </row>
    <row r="107" spans="4:45" ht="14.25" customHeight="1" x14ac:dyDescent="0.35">
      <c r="J107" s="9" t="s">
        <v>16</v>
      </c>
      <c r="L107" s="9" t="s">
        <v>14</v>
      </c>
      <c r="N107" s="9" t="s">
        <v>20</v>
      </c>
      <c r="P107" s="9" t="s">
        <v>25</v>
      </c>
      <c r="R107" s="9" t="s">
        <v>26</v>
      </c>
      <c r="T107" s="9" t="s">
        <v>27</v>
      </c>
      <c r="V107" s="9" t="s">
        <v>28</v>
      </c>
      <c r="X107" s="9" t="s">
        <v>41</v>
      </c>
      <c r="Z107" s="9" t="s">
        <v>30</v>
      </c>
      <c r="AB107" s="9" t="s">
        <v>22</v>
      </c>
      <c r="AD107" s="9" t="s">
        <v>31</v>
      </c>
      <c r="AE107" s="22" t="s">
        <v>42</v>
      </c>
      <c r="AH107" s="3"/>
      <c r="AJ107" s="3"/>
      <c r="AK107" s="3"/>
      <c r="AL107" s="3"/>
      <c r="AP107" s="2">
        <v>6</v>
      </c>
      <c r="AQ107" s="2" t="s">
        <v>29</v>
      </c>
      <c r="AR107" s="28">
        <v>266.67</v>
      </c>
      <c r="AS107" s="2">
        <v>8</v>
      </c>
    </row>
    <row r="108" spans="4:45" ht="14.25" customHeight="1" x14ac:dyDescent="0.35">
      <c r="D108" s="29">
        <v>46032</v>
      </c>
      <c r="E108" s="2" t="s">
        <v>44</v>
      </c>
      <c r="I108" s="9">
        <v>1</v>
      </c>
      <c r="J108" s="9"/>
      <c r="K108" s="9">
        <v>1</v>
      </c>
      <c r="L108" s="9"/>
      <c r="M108" s="9">
        <v>1</v>
      </c>
      <c r="N108" s="9"/>
      <c r="O108" s="9"/>
      <c r="P108" s="9"/>
      <c r="Q108" s="9">
        <v>1</v>
      </c>
      <c r="R108" s="9"/>
      <c r="S108" s="9">
        <v>1</v>
      </c>
      <c r="T108" s="9"/>
      <c r="U108" s="9"/>
      <c r="V108" s="9"/>
      <c r="W108" s="9">
        <v>1</v>
      </c>
      <c r="X108" s="9"/>
      <c r="Y108" s="9"/>
      <c r="Z108" s="9"/>
      <c r="AA108" s="9">
        <v>1</v>
      </c>
      <c r="AB108" s="9"/>
      <c r="AC108" s="9">
        <v>1</v>
      </c>
      <c r="AD108" s="9"/>
      <c r="AE108" s="22">
        <f>SUM(I108:AD108)</f>
        <v>8</v>
      </c>
      <c r="AH108" s="3"/>
      <c r="AJ108" s="3"/>
      <c r="AK108" s="3"/>
      <c r="AL108" s="3"/>
      <c r="AP108" s="2">
        <v>7</v>
      </c>
      <c r="AQ108" s="2" t="s">
        <v>26</v>
      </c>
      <c r="AR108" s="28">
        <v>220</v>
      </c>
      <c r="AS108" s="2">
        <v>6</v>
      </c>
    </row>
    <row r="109" spans="4:45" ht="14.25" customHeight="1" x14ac:dyDescent="0.45">
      <c r="E109" s="2" t="s">
        <v>46</v>
      </c>
      <c r="F109" s="2" t="s">
        <v>47</v>
      </c>
      <c r="J109" s="30">
        <f>I109*$C$5*$AE$108</f>
        <v>0</v>
      </c>
      <c r="L109" s="30">
        <f>K109*$C$5*$AE$108</f>
        <v>0</v>
      </c>
      <c r="N109" s="30">
        <f>M109*$C$5*$AE$108</f>
        <v>0</v>
      </c>
      <c r="P109" s="30">
        <f>O109*$C$5*$AE$108</f>
        <v>0</v>
      </c>
      <c r="R109" s="30">
        <f>Q109*$C$5*$AE$108</f>
        <v>0</v>
      </c>
      <c r="T109" s="30">
        <f>S109*$C$5*$AE$108</f>
        <v>0</v>
      </c>
      <c r="V109" s="30">
        <f>U109*$C$5*$AE$108</f>
        <v>0</v>
      </c>
      <c r="W109" s="2">
        <v>1</v>
      </c>
      <c r="X109" s="30">
        <f>W109*$C$5*$AE$108</f>
        <v>2</v>
      </c>
      <c r="Z109" s="30">
        <f>Y109*$C$5*$AE$108</f>
        <v>0</v>
      </c>
      <c r="AB109" s="30">
        <f>AA109*$C$5*$AE$108</f>
        <v>0</v>
      </c>
      <c r="AC109" s="2">
        <v>1</v>
      </c>
      <c r="AD109" s="30">
        <f>AC109*$C$5*$AE$108</f>
        <v>2</v>
      </c>
      <c r="AH109" s="3"/>
      <c r="AJ109" s="3"/>
      <c r="AK109" s="3"/>
      <c r="AL109" s="3"/>
      <c r="AP109" s="2">
        <v>8</v>
      </c>
      <c r="AQ109" s="2" t="s">
        <v>28</v>
      </c>
      <c r="AR109" s="28">
        <v>180</v>
      </c>
      <c r="AS109" s="2">
        <v>4</v>
      </c>
    </row>
    <row r="110" spans="4:45" ht="14.25" customHeight="1" x14ac:dyDescent="0.45">
      <c r="F110" s="2" t="s">
        <v>5</v>
      </c>
      <c r="J110" s="30">
        <f>I110*$C$6*$AE$108</f>
        <v>0</v>
      </c>
      <c r="L110" s="30">
        <f>K110*$C$6*$AE$108</f>
        <v>0</v>
      </c>
      <c r="M110" s="2">
        <v>1</v>
      </c>
      <c r="N110" s="30">
        <f>M110*$C$6*$AE$108</f>
        <v>1</v>
      </c>
      <c r="P110" s="30">
        <f>O110*$C$6*$AE$108</f>
        <v>0</v>
      </c>
      <c r="R110" s="30">
        <f>Q110*$C$6*$AE$108</f>
        <v>0</v>
      </c>
      <c r="T110" s="30">
        <f>S110*$C$6*$AE$108</f>
        <v>0</v>
      </c>
      <c r="V110" s="30">
        <f>U110*$C$6*$AE$108</f>
        <v>0</v>
      </c>
      <c r="X110" s="30">
        <f>W110*$C$6*$AE$108</f>
        <v>0</v>
      </c>
      <c r="Z110" s="30">
        <f>Y110*$C$6*$AE$108</f>
        <v>0</v>
      </c>
      <c r="AB110" s="30">
        <f>AA110*$C$6*$AE$108</f>
        <v>0</v>
      </c>
      <c r="AD110" s="30">
        <f>AC110*$C$6*$AE$108</f>
        <v>0</v>
      </c>
      <c r="AH110" s="3"/>
      <c r="AJ110" s="3"/>
      <c r="AK110" s="3"/>
      <c r="AL110" s="3"/>
      <c r="AP110" s="2">
        <v>9</v>
      </c>
      <c r="AQ110" s="2" t="s">
        <v>31</v>
      </c>
      <c r="AR110" s="28">
        <v>140</v>
      </c>
      <c r="AS110" s="2">
        <v>4</v>
      </c>
    </row>
    <row r="111" spans="4:45" ht="14.25" customHeight="1" x14ac:dyDescent="0.45">
      <c r="F111" s="2" t="s">
        <v>23</v>
      </c>
      <c r="J111" s="30">
        <f>I111*$C$7*$AE$108</f>
        <v>0</v>
      </c>
      <c r="L111" s="30">
        <f>K111*$C$7*$AE$108</f>
        <v>0</v>
      </c>
      <c r="N111" s="30">
        <f>M111*$C$7*$AE$108</f>
        <v>0</v>
      </c>
      <c r="P111" s="30">
        <f>O111*$C$7*$AE$108</f>
        <v>0</v>
      </c>
      <c r="R111" s="30">
        <f>Q111*$C$7*$AE$108</f>
        <v>0</v>
      </c>
      <c r="T111" s="30">
        <f>S111*$C$7*$AE$108</f>
        <v>0</v>
      </c>
      <c r="V111" s="30">
        <f>U111*$C$7*$AE$108</f>
        <v>0</v>
      </c>
      <c r="X111" s="30">
        <f>W111*$C$7*$AE$108</f>
        <v>0</v>
      </c>
      <c r="Z111" s="30">
        <f>Y111*$C$7*$AE$108</f>
        <v>0</v>
      </c>
      <c r="AA111" s="2">
        <v>1</v>
      </c>
      <c r="AB111" s="30">
        <f>AA111*$C$7*$AE$108</f>
        <v>0.66666666666666663</v>
      </c>
      <c r="AD111" s="30">
        <f>AC111*$C$7*$AE$108</f>
        <v>0</v>
      </c>
      <c r="AH111" s="3"/>
      <c r="AJ111" s="3"/>
      <c r="AK111" s="3"/>
      <c r="AL111" s="3"/>
      <c r="AP111" s="2">
        <v>10</v>
      </c>
      <c r="AQ111" s="2" t="s">
        <v>27</v>
      </c>
      <c r="AR111" s="28">
        <v>90</v>
      </c>
      <c r="AS111" s="2">
        <v>6</v>
      </c>
    </row>
    <row r="112" spans="4:45" ht="14.25" customHeight="1" x14ac:dyDescent="0.45">
      <c r="E112" s="2" t="s">
        <v>49</v>
      </c>
      <c r="F112" s="2" t="s">
        <v>47</v>
      </c>
      <c r="I112" s="2">
        <v>1</v>
      </c>
      <c r="J112" s="30">
        <f>I112*$C$5*$AE$108</f>
        <v>2</v>
      </c>
      <c r="L112" s="30">
        <f>K112*$C$5*$AE$108</f>
        <v>0</v>
      </c>
      <c r="N112" s="30">
        <f>M112*$C$5*$AE$108</f>
        <v>0</v>
      </c>
      <c r="P112" s="30">
        <f>O112*$C$5*$AE$108</f>
        <v>0</v>
      </c>
      <c r="R112" s="30">
        <f>Q112*$C$5*$AE$108</f>
        <v>0</v>
      </c>
      <c r="T112" s="30">
        <f>S112*$C$5*$AE$108</f>
        <v>0</v>
      </c>
      <c r="V112" s="30">
        <f>U112*$C$5*$AE$108</f>
        <v>0</v>
      </c>
      <c r="X112" s="30">
        <f>W112*$C$5*$AE$108</f>
        <v>0</v>
      </c>
      <c r="Z112" s="30">
        <f>Y112*$C$5*$AE$108</f>
        <v>0</v>
      </c>
      <c r="AA112" s="2">
        <v>1</v>
      </c>
      <c r="AB112" s="30">
        <f>AA112*$C$5*$AE$108</f>
        <v>2</v>
      </c>
      <c r="AD112" s="30">
        <f>AC112*$C$5*$AE$108</f>
        <v>0</v>
      </c>
      <c r="AH112" s="3"/>
      <c r="AJ112" s="3"/>
      <c r="AK112" s="3"/>
      <c r="AL112" s="3"/>
      <c r="AP112" s="27"/>
      <c r="AQ112" s="27" t="s">
        <v>92</v>
      </c>
      <c r="AR112" s="31">
        <f>SUM(AR102:AR111)</f>
        <v>2960.01</v>
      </c>
      <c r="AS112" s="32"/>
    </row>
    <row r="113" spans="6:46" ht="14.25" customHeight="1" x14ac:dyDescent="0.45">
      <c r="F113" s="2" t="s">
        <v>5</v>
      </c>
      <c r="J113" s="30">
        <f>I113*$C$6*$AE$108</f>
        <v>0</v>
      </c>
      <c r="L113" s="30">
        <f>K113*$C$6*$AE$108</f>
        <v>0</v>
      </c>
      <c r="N113" s="30">
        <f>M113*$C$6*$AE$108</f>
        <v>0</v>
      </c>
      <c r="P113" s="30">
        <f>O113*$C$6*$AE$108</f>
        <v>0</v>
      </c>
      <c r="Q113" s="2">
        <v>1</v>
      </c>
      <c r="R113" s="30">
        <f>Q113*$C$6*$AE$108</f>
        <v>1</v>
      </c>
      <c r="T113" s="30">
        <f>S113*$C$6*$AE$108</f>
        <v>0</v>
      </c>
      <c r="V113" s="30">
        <f>U113*$C$6*$AE$108</f>
        <v>0</v>
      </c>
      <c r="X113" s="30">
        <f>W113*$C$6*$AE$108</f>
        <v>0</v>
      </c>
      <c r="Z113" s="30">
        <f>Y113*$C$6*$AE$108</f>
        <v>0</v>
      </c>
      <c r="AB113" s="30">
        <f>AA113*$C$6*$AE$108</f>
        <v>0</v>
      </c>
      <c r="AD113" s="30">
        <f>AC113*$C$6*$AE$108</f>
        <v>0</v>
      </c>
      <c r="AH113" s="3"/>
      <c r="AJ113" s="3"/>
      <c r="AK113" s="3"/>
      <c r="AL113" s="3"/>
      <c r="AP113" s="33" t="s">
        <v>93</v>
      </c>
    </row>
    <row r="114" spans="6:46" ht="14.25" customHeight="1" x14ac:dyDescent="0.45">
      <c r="F114" s="2" t="s">
        <v>23</v>
      </c>
      <c r="J114" s="30">
        <f>I114*$C$7*$AE$108</f>
        <v>0</v>
      </c>
      <c r="L114" s="30">
        <f>K114*$C$7*$AE$108</f>
        <v>0</v>
      </c>
      <c r="N114" s="30">
        <f>M114*$C$7*$AE$108</f>
        <v>0</v>
      </c>
      <c r="P114" s="30">
        <f>O114*$C$7*$AE$108</f>
        <v>0</v>
      </c>
      <c r="R114" s="30">
        <f>Q114*$C$7*$AE$108</f>
        <v>0</v>
      </c>
      <c r="S114" s="2">
        <v>1</v>
      </c>
      <c r="T114" s="30">
        <f>S114*$C$7*$AE$108</f>
        <v>0.66666666666666663</v>
      </c>
      <c r="V114" s="30">
        <f>U114*$C$7*$AE$108</f>
        <v>0</v>
      </c>
      <c r="X114" s="30">
        <f>W114*$C$7*$AE$108</f>
        <v>0</v>
      </c>
      <c r="Z114" s="30">
        <f>Y114*$C$7*$AE$108</f>
        <v>0</v>
      </c>
      <c r="AB114" s="30">
        <f>AA114*$C$7*$AE$108</f>
        <v>0</v>
      </c>
      <c r="AD114" s="30">
        <f>AC114*$C$7*$AE$108</f>
        <v>0</v>
      </c>
      <c r="AH114" s="3"/>
      <c r="AJ114" s="3"/>
      <c r="AK114" s="3"/>
      <c r="AL114" s="3"/>
    </row>
    <row r="115" spans="6:46" ht="14.25" customHeight="1" x14ac:dyDescent="0.45">
      <c r="F115" s="15" t="s">
        <v>51</v>
      </c>
      <c r="J115" s="34">
        <f>SUM(J109:J114)</f>
        <v>2</v>
      </c>
      <c r="L115" s="34">
        <f>SUM(L109:L114)</f>
        <v>0</v>
      </c>
      <c r="N115" s="34">
        <f>SUM(N109:N114)</f>
        <v>1</v>
      </c>
      <c r="P115" s="34">
        <f>SUM(P109:P114)</f>
        <v>0</v>
      </c>
      <c r="R115" s="34">
        <f>SUM(R109:R114)</f>
        <v>1</v>
      </c>
      <c r="T115" s="34">
        <f>SUM(T109:T114)</f>
        <v>0.66666666666666663</v>
      </c>
      <c r="V115" s="34">
        <f>SUM(V109:V114)</f>
        <v>0</v>
      </c>
      <c r="X115" s="34">
        <f>SUM(X109:X114)</f>
        <v>2</v>
      </c>
      <c r="Z115" s="34">
        <f>SUM(Z109:Z114)</f>
        <v>0</v>
      </c>
      <c r="AB115" s="34">
        <f>SUM(AB109:AB114)</f>
        <v>2.6666666666666665</v>
      </c>
      <c r="AD115" s="34">
        <f>SUM(AD109:AD114)</f>
        <v>2</v>
      </c>
      <c r="AH115" s="3"/>
      <c r="AJ115" s="3"/>
      <c r="AK115" s="3"/>
      <c r="AL115" s="3"/>
      <c r="AP115" s="4" t="s">
        <v>94</v>
      </c>
      <c r="AQ115" s="5"/>
      <c r="AR115" s="5"/>
      <c r="AS115" s="5"/>
      <c r="AT115" s="5"/>
    </row>
    <row r="116" spans="6:46" ht="14.25" customHeight="1" x14ac:dyDescent="0.35">
      <c r="AH116" s="3"/>
      <c r="AJ116" s="3"/>
      <c r="AK116" s="3"/>
      <c r="AL116" s="3"/>
      <c r="AP116" s="27" t="s">
        <v>89</v>
      </c>
      <c r="AQ116" s="27" t="s">
        <v>10</v>
      </c>
      <c r="AR116" s="27" t="s">
        <v>95</v>
      </c>
      <c r="AS116" s="27" t="s">
        <v>90</v>
      </c>
      <c r="AT116" s="27" t="s">
        <v>96</v>
      </c>
    </row>
    <row r="117" spans="6:46" ht="14.25" customHeight="1" x14ac:dyDescent="0.35">
      <c r="AH117" s="3"/>
      <c r="AJ117" s="3"/>
      <c r="AK117" s="3"/>
      <c r="AL117" s="3"/>
      <c r="AP117" s="2">
        <v>1</v>
      </c>
      <c r="AQ117" s="2" t="s">
        <v>14</v>
      </c>
      <c r="AR117" s="28">
        <v>49</v>
      </c>
      <c r="AS117" s="28">
        <v>490</v>
      </c>
      <c r="AT117" s="2">
        <v>10</v>
      </c>
    </row>
    <row r="118" spans="6:46" ht="14.25" customHeight="1" x14ac:dyDescent="0.35">
      <c r="AH118" s="3"/>
      <c r="AJ118" s="3"/>
      <c r="AK118" s="3"/>
      <c r="AL118" s="3"/>
      <c r="AP118" s="2">
        <v>1</v>
      </c>
      <c r="AQ118" s="2" t="s">
        <v>22</v>
      </c>
      <c r="AR118" s="28">
        <v>49</v>
      </c>
      <c r="AS118" s="28">
        <v>490</v>
      </c>
      <c r="AT118" s="2">
        <v>10</v>
      </c>
    </row>
    <row r="119" spans="6:46" ht="14.25" customHeight="1" x14ac:dyDescent="0.35">
      <c r="AH119" s="3"/>
      <c r="AJ119" s="3"/>
      <c r="AK119" s="3"/>
      <c r="AL119" s="3"/>
      <c r="AP119" s="2">
        <v>3</v>
      </c>
      <c r="AQ119" s="2" t="s">
        <v>25</v>
      </c>
      <c r="AR119" s="28">
        <v>44.07</v>
      </c>
      <c r="AS119" s="28">
        <v>396.67</v>
      </c>
      <c r="AT119" s="2">
        <v>9</v>
      </c>
    </row>
    <row r="120" spans="6:46" ht="14.25" customHeight="1" x14ac:dyDescent="0.35">
      <c r="AH120" s="3"/>
      <c r="AJ120" s="3"/>
      <c r="AK120" s="3"/>
      <c r="AL120" s="3"/>
      <c r="AP120" s="2">
        <v>4</v>
      </c>
      <c r="AQ120" s="2" t="s">
        <v>16</v>
      </c>
      <c r="AR120" s="28">
        <v>41.85</v>
      </c>
      <c r="AS120" s="28">
        <v>376.67</v>
      </c>
      <c r="AT120" s="2">
        <v>9</v>
      </c>
    </row>
    <row r="121" spans="6:46" ht="14.25" customHeight="1" x14ac:dyDescent="0.35">
      <c r="AH121" s="3"/>
      <c r="AJ121" s="3"/>
      <c r="AK121" s="3"/>
      <c r="AL121" s="3"/>
      <c r="AP121" s="2">
        <v>5</v>
      </c>
      <c r="AQ121" s="2" t="s">
        <v>20</v>
      </c>
      <c r="AR121" s="28">
        <v>38.75</v>
      </c>
      <c r="AS121" s="28">
        <v>310</v>
      </c>
      <c r="AT121" s="2">
        <v>8</v>
      </c>
    </row>
    <row r="122" spans="6:46" ht="14.25" customHeight="1" x14ac:dyDescent="0.35">
      <c r="AH122" s="3"/>
      <c r="AJ122" s="3"/>
      <c r="AK122" s="3"/>
      <c r="AL122" s="3"/>
      <c r="AP122" s="2">
        <v>6</v>
      </c>
      <c r="AQ122" s="2" t="s">
        <v>29</v>
      </c>
      <c r="AR122" s="28">
        <v>33.33</v>
      </c>
      <c r="AS122" s="28">
        <v>266.67</v>
      </c>
      <c r="AT122" s="2">
        <v>8</v>
      </c>
    </row>
    <row r="123" spans="6:46" ht="14.25" customHeight="1" x14ac:dyDescent="0.35">
      <c r="AH123" s="3"/>
      <c r="AJ123" s="3"/>
      <c r="AK123" s="3"/>
      <c r="AL123" s="3"/>
      <c r="AP123" s="32"/>
      <c r="AQ123" s="27" t="s">
        <v>92</v>
      </c>
      <c r="AR123" s="32"/>
      <c r="AS123" s="31">
        <f>SUM(AS117:AS122)</f>
        <v>2330.0100000000002</v>
      </c>
      <c r="AT123" s="32"/>
    </row>
    <row r="124" spans="6:46" ht="14.25" customHeight="1" x14ac:dyDescent="0.35">
      <c r="AH124" s="3"/>
      <c r="AJ124" s="3"/>
      <c r="AK124" s="3"/>
      <c r="AL124" s="3"/>
      <c r="AP124" s="33" t="s">
        <v>97</v>
      </c>
    </row>
    <row r="125" spans="6:46" ht="14.25" customHeight="1" x14ac:dyDescent="0.35">
      <c r="AH125" s="3"/>
      <c r="AJ125" s="3"/>
      <c r="AK125" s="3"/>
      <c r="AL125" s="3"/>
    </row>
    <row r="126" spans="6:46" ht="14.25" customHeight="1" x14ac:dyDescent="0.35">
      <c r="AH126" s="3"/>
      <c r="AJ126" s="3"/>
      <c r="AK126" s="3"/>
      <c r="AL126" s="3"/>
    </row>
    <row r="127" spans="6:46" ht="14.25" customHeight="1" x14ac:dyDescent="0.35">
      <c r="AH127" s="3"/>
      <c r="AJ127" s="3"/>
      <c r="AK127" s="3"/>
      <c r="AL127" s="3"/>
    </row>
    <row r="128" spans="6:46" ht="14.25" customHeight="1" x14ac:dyDescent="0.35">
      <c r="AH128" s="3"/>
      <c r="AJ128" s="3"/>
      <c r="AK128" s="3"/>
      <c r="AL128" s="3"/>
    </row>
    <row r="129" spans="34:38" ht="14.25" customHeight="1" x14ac:dyDescent="0.35">
      <c r="AH129" s="3"/>
      <c r="AJ129" s="3"/>
      <c r="AK129" s="3"/>
      <c r="AL129" s="3"/>
    </row>
    <row r="130" spans="34:38" ht="14.25" customHeight="1" x14ac:dyDescent="0.35">
      <c r="AH130" s="3"/>
      <c r="AJ130" s="3"/>
      <c r="AK130" s="3"/>
      <c r="AL130" s="3"/>
    </row>
    <row r="131" spans="34:38" ht="14.25" customHeight="1" x14ac:dyDescent="0.35">
      <c r="AH131" s="3"/>
      <c r="AJ131" s="3"/>
      <c r="AK131" s="3"/>
      <c r="AL131" s="3"/>
    </row>
    <row r="132" spans="34:38" ht="14.25" customHeight="1" x14ac:dyDescent="0.35">
      <c r="AH132" s="3"/>
      <c r="AJ132" s="3"/>
      <c r="AK132" s="3"/>
      <c r="AL132" s="3"/>
    </row>
    <row r="133" spans="34:38" ht="14.25" customHeight="1" x14ac:dyDescent="0.35">
      <c r="AH133" s="3"/>
      <c r="AJ133" s="3"/>
      <c r="AK133" s="3"/>
      <c r="AL133" s="3"/>
    </row>
    <row r="134" spans="34:38" ht="14.25" customHeight="1" x14ac:dyDescent="0.35">
      <c r="AH134" s="3"/>
      <c r="AJ134" s="3"/>
      <c r="AK134" s="3"/>
      <c r="AL134" s="3"/>
    </row>
    <row r="135" spans="34:38" ht="14.25" customHeight="1" x14ac:dyDescent="0.35">
      <c r="AH135" s="3"/>
      <c r="AJ135" s="3"/>
      <c r="AK135" s="3"/>
      <c r="AL135" s="3"/>
    </row>
    <row r="136" spans="34:38" ht="14.25" customHeight="1" x14ac:dyDescent="0.35">
      <c r="AH136" s="3"/>
      <c r="AJ136" s="3"/>
      <c r="AK136" s="3"/>
      <c r="AL136" s="3"/>
    </row>
    <row r="137" spans="34:38" ht="14.25" customHeight="1" x14ac:dyDescent="0.35">
      <c r="AH137" s="3"/>
      <c r="AJ137" s="3"/>
      <c r="AK137" s="3"/>
      <c r="AL137" s="3"/>
    </row>
    <row r="138" spans="34:38" ht="14.25" customHeight="1" x14ac:dyDescent="0.35">
      <c r="AH138" s="3"/>
      <c r="AJ138" s="3"/>
      <c r="AK138" s="3"/>
      <c r="AL138" s="3"/>
    </row>
    <row r="139" spans="34:38" ht="14.25" customHeight="1" x14ac:dyDescent="0.35">
      <c r="AH139" s="3"/>
      <c r="AJ139" s="3"/>
      <c r="AK139" s="3"/>
      <c r="AL139" s="3"/>
    </row>
    <row r="140" spans="34:38" ht="14.25" customHeight="1" x14ac:dyDescent="0.35">
      <c r="AH140" s="3"/>
      <c r="AJ140" s="3"/>
      <c r="AK140" s="3"/>
      <c r="AL140" s="3"/>
    </row>
    <row r="141" spans="34:38" ht="14.25" customHeight="1" x14ac:dyDescent="0.35">
      <c r="AH141" s="3"/>
      <c r="AJ141" s="3"/>
      <c r="AK141" s="3"/>
      <c r="AL141" s="3"/>
    </row>
    <row r="142" spans="34:38" ht="14.25" customHeight="1" x14ac:dyDescent="0.35">
      <c r="AH142" s="3"/>
      <c r="AJ142" s="3"/>
      <c r="AK142" s="3"/>
      <c r="AL142" s="3"/>
    </row>
    <row r="143" spans="34:38" ht="14.25" customHeight="1" x14ac:dyDescent="0.35">
      <c r="AH143" s="3"/>
      <c r="AJ143" s="3"/>
      <c r="AK143" s="3"/>
      <c r="AL143" s="3"/>
    </row>
    <row r="144" spans="34:38" ht="14.25" customHeight="1" x14ac:dyDescent="0.35">
      <c r="AH144" s="3"/>
      <c r="AJ144" s="3"/>
      <c r="AK144" s="3"/>
      <c r="AL144" s="3"/>
    </row>
    <row r="145" spans="34:38" ht="14.25" customHeight="1" x14ac:dyDescent="0.35">
      <c r="AH145" s="3"/>
      <c r="AJ145" s="3"/>
      <c r="AK145" s="3"/>
      <c r="AL145" s="3"/>
    </row>
    <row r="146" spans="34:38" ht="14.25" customHeight="1" x14ac:dyDescent="0.35">
      <c r="AH146" s="3"/>
      <c r="AJ146" s="3"/>
      <c r="AK146" s="3"/>
      <c r="AL146" s="3"/>
    </row>
    <row r="147" spans="34:38" ht="14.25" customHeight="1" x14ac:dyDescent="0.35">
      <c r="AH147" s="3"/>
      <c r="AJ147" s="3"/>
      <c r="AK147" s="3"/>
      <c r="AL147" s="3"/>
    </row>
    <row r="148" spans="34:38" ht="14.25" customHeight="1" x14ac:dyDescent="0.35">
      <c r="AH148" s="3"/>
      <c r="AJ148" s="3"/>
      <c r="AK148" s="3"/>
      <c r="AL148" s="3"/>
    </row>
    <row r="149" spans="34:38" ht="14.25" customHeight="1" x14ac:dyDescent="0.35">
      <c r="AH149" s="3"/>
      <c r="AJ149" s="3"/>
      <c r="AK149" s="3"/>
      <c r="AL149" s="3"/>
    </row>
    <row r="150" spans="34:38" ht="14.25" customHeight="1" x14ac:dyDescent="0.35">
      <c r="AH150" s="3"/>
      <c r="AJ150" s="3"/>
      <c r="AK150" s="3"/>
      <c r="AL150" s="3"/>
    </row>
    <row r="151" spans="34:38" ht="14.25" customHeight="1" x14ac:dyDescent="0.35">
      <c r="AH151" s="3"/>
      <c r="AJ151" s="3"/>
      <c r="AK151" s="3"/>
      <c r="AL151" s="3"/>
    </row>
    <row r="152" spans="34:38" ht="14.25" customHeight="1" x14ac:dyDescent="0.35">
      <c r="AH152" s="3"/>
      <c r="AJ152" s="3"/>
      <c r="AK152" s="3"/>
      <c r="AL152" s="3"/>
    </row>
    <row r="153" spans="34:38" ht="14.25" customHeight="1" x14ac:dyDescent="0.35">
      <c r="AH153" s="3"/>
      <c r="AJ153" s="3"/>
      <c r="AK153" s="3"/>
      <c r="AL153" s="3"/>
    </row>
    <row r="154" spans="34:38" ht="14.25" customHeight="1" x14ac:dyDescent="0.35">
      <c r="AH154" s="3"/>
      <c r="AJ154" s="3"/>
      <c r="AK154" s="3"/>
      <c r="AL154" s="3"/>
    </row>
    <row r="155" spans="34:38" ht="14.25" customHeight="1" x14ac:dyDescent="0.35">
      <c r="AH155" s="3"/>
      <c r="AJ155" s="3"/>
      <c r="AK155" s="3"/>
      <c r="AL155" s="3"/>
    </row>
    <row r="156" spans="34:38" ht="14.25" customHeight="1" x14ac:dyDescent="0.35">
      <c r="AH156" s="3"/>
      <c r="AJ156" s="3"/>
      <c r="AK156" s="3"/>
      <c r="AL156" s="3"/>
    </row>
    <row r="157" spans="34:38" ht="14.25" customHeight="1" x14ac:dyDescent="0.35">
      <c r="AH157" s="3"/>
      <c r="AJ157" s="3"/>
      <c r="AK157" s="3"/>
      <c r="AL157" s="3"/>
    </row>
    <row r="158" spans="34:38" ht="14.25" customHeight="1" x14ac:dyDescent="0.35">
      <c r="AH158" s="3"/>
      <c r="AJ158" s="3"/>
      <c r="AK158" s="3"/>
      <c r="AL158" s="3"/>
    </row>
    <row r="159" spans="34:38" ht="14.25" customHeight="1" x14ac:dyDescent="0.35">
      <c r="AH159" s="3"/>
      <c r="AJ159" s="3"/>
      <c r="AK159" s="3"/>
      <c r="AL159" s="3"/>
    </row>
    <row r="160" spans="34:38" ht="14.25" customHeight="1" x14ac:dyDescent="0.35">
      <c r="AH160" s="3"/>
      <c r="AJ160" s="3"/>
      <c r="AK160" s="3"/>
      <c r="AL160" s="3"/>
    </row>
    <row r="161" spans="34:38" ht="14.25" customHeight="1" x14ac:dyDescent="0.35">
      <c r="AH161" s="3"/>
      <c r="AJ161" s="3"/>
      <c r="AK161" s="3"/>
      <c r="AL161" s="3"/>
    </row>
    <row r="162" spans="34:38" ht="14.25" customHeight="1" x14ac:dyDescent="0.35">
      <c r="AH162" s="3"/>
      <c r="AJ162" s="3"/>
      <c r="AK162" s="3"/>
      <c r="AL162" s="3"/>
    </row>
    <row r="163" spans="34:38" ht="14.25" customHeight="1" x14ac:dyDescent="0.35">
      <c r="AH163" s="3"/>
      <c r="AJ163" s="3"/>
      <c r="AK163" s="3"/>
      <c r="AL163" s="3"/>
    </row>
    <row r="164" spans="34:38" ht="14.25" customHeight="1" x14ac:dyDescent="0.35">
      <c r="AH164" s="3"/>
      <c r="AJ164" s="3"/>
      <c r="AK164" s="3"/>
      <c r="AL164" s="3"/>
    </row>
    <row r="165" spans="34:38" ht="14.25" customHeight="1" x14ac:dyDescent="0.35">
      <c r="AH165" s="3"/>
      <c r="AJ165" s="3"/>
      <c r="AK165" s="3"/>
      <c r="AL165" s="3"/>
    </row>
    <row r="166" spans="34:38" ht="14.25" customHeight="1" x14ac:dyDescent="0.35">
      <c r="AH166" s="3"/>
      <c r="AJ166" s="3"/>
      <c r="AK166" s="3"/>
      <c r="AL166" s="3"/>
    </row>
    <row r="167" spans="34:38" ht="14.25" customHeight="1" x14ac:dyDescent="0.35">
      <c r="AH167" s="3"/>
      <c r="AJ167" s="3"/>
      <c r="AK167" s="3"/>
      <c r="AL167" s="3"/>
    </row>
    <row r="168" spans="34:38" ht="14.25" customHeight="1" x14ac:dyDescent="0.35">
      <c r="AH168" s="3"/>
      <c r="AJ168" s="3"/>
      <c r="AK168" s="3"/>
      <c r="AL168" s="3"/>
    </row>
    <row r="169" spans="34:38" ht="14.25" customHeight="1" x14ac:dyDescent="0.35">
      <c r="AH169" s="3"/>
      <c r="AJ169" s="3"/>
      <c r="AK169" s="3"/>
      <c r="AL169" s="3"/>
    </row>
    <row r="170" spans="34:38" ht="14.25" customHeight="1" x14ac:dyDescent="0.35">
      <c r="AH170" s="3"/>
      <c r="AJ170" s="3"/>
      <c r="AK170" s="3"/>
      <c r="AL170" s="3"/>
    </row>
    <row r="171" spans="34:38" ht="14.25" customHeight="1" x14ac:dyDescent="0.35">
      <c r="AH171" s="3"/>
      <c r="AJ171" s="3"/>
      <c r="AK171" s="3"/>
      <c r="AL171" s="3"/>
    </row>
    <row r="172" spans="34:38" ht="14.25" customHeight="1" x14ac:dyDescent="0.35">
      <c r="AH172" s="3"/>
      <c r="AJ172" s="3"/>
      <c r="AK172" s="3"/>
      <c r="AL172" s="3"/>
    </row>
    <row r="173" spans="34:38" ht="14.25" customHeight="1" x14ac:dyDescent="0.35">
      <c r="AH173" s="3"/>
      <c r="AJ173" s="3"/>
      <c r="AK173" s="3"/>
      <c r="AL173" s="3"/>
    </row>
    <row r="174" spans="34:38" ht="14.25" customHeight="1" x14ac:dyDescent="0.35">
      <c r="AH174" s="3"/>
      <c r="AJ174" s="3"/>
      <c r="AK174" s="3"/>
      <c r="AL174" s="3"/>
    </row>
    <row r="175" spans="34:38" ht="14.25" customHeight="1" x14ac:dyDescent="0.35">
      <c r="AH175" s="3"/>
      <c r="AJ175" s="3"/>
      <c r="AK175" s="3"/>
      <c r="AL175" s="3"/>
    </row>
    <row r="176" spans="34:38" ht="14.25" customHeight="1" x14ac:dyDescent="0.35">
      <c r="AH176" s="3"/>
      <c r="AJ176" s="3"/>
      <c r="AK176" s="3"/>
      <c r="AL176" s="3"/>
    </row>
    <row r="177" spans="34:38" ht="14.25" customHeight="1" x14ac:dyDescent="0.35">
      <c r="AH177" s="3"/>
      <c r="AJ177" s="3"/>
      <c r="AK177" s="3"/>
      <c r="AL177" s="3"/>
    </row>
    <row r="178" spans="34:38" ht="14.25" customHeight="1" x14ac:dyDescent="0.35">
      <c r="AH178" s="3"/>
      <c r="AJ178" s="3"/>
      <c r="AK178" s="3"/>
      <c r="AL178" s="3"/>
    </row>
    <row r="179" spans="34:38" ht="14.25" customHeight="1" x14ac:dyDescent="0.35">
      <c r="AH179" s="3"/>
      <c r="AJ179" s="3"/>
      <c r="AK179" s="3"/>
      <c r="AL179" s="3"/>
    </row>
    <row r="180" spans="34:38" ht="14.25" customHeight="1" x14ac:dyDescent="0.35">
      <c r="AH180" s="3"/>
      <c r="AJ180" s="3"/>
      <c r="AK180" s="3"/>
      <c r="AL180" s="3"/>
    </row>
    <row r="181" spans="34:38" ht="14.25" customHeight="1" x14ac:dyDescent="0.35">
      <c r="AH181" s="3"/>
      <c r="AJ181" s="3"/>
      <c r="AK181" s="3"/>
      <c r="AL181" s="3"/>
    </row>
    <row r="182" spans="34:38" ht="14.25" customHeight="1" x14ac:dyDescent="0.35">
      <c r="AH182" s="3"/>
      <c r="AJ182" s="3"/>
      <c r="AK182" s="3"/>
      <c r="AL182" s="3"/>
    </row>
    <row r="183" spans="34:38" ht="14.25" customHeight="1" x14ac:dyDescent="0.35">
      <c r="AH183" s="3"/>
      <c r="AJ183" s="3"/>
      <c r="AK183" s="3"/>
      <c r="AL183" s="3"/>
    </row>
    <row r="184" spans="34:38" ht="14.25" customHeight="1" x14ac:dyDescent="0.35">
      <c r="AH184" s="3"/>
      <c r="AJ184" s="3"/>
      <c r="AK184" s="3"/>
      <c r="AL184" s="3"/>
    </row>
    <row r="185" spans="34:38" ht="14.25" customHeight="1" x14ac:dyDescent="0.35">
      <c r="AH185" s="3"/>
      <c r="AJ185" s="3"/>
      <c r="AK185" s="3"/>
      <c r="AL185" s="3"/>
    </row>
    <row r="186" spans="34:38" ht="14.25" customHeight="1" x14ac:dyDescent="0.35">
      <c r="AH186" s="3"/>
      <c r="AJ186" s="3"/>
      <c r="AK186" s="3"/>
      <c r="AL186" s="3"/>
    </row>
    <row r="187" spans="34:38" ht="14.25" customHeight="1" x14ac:dyDescent="0.35">
      <c r="AH187" s="3"/>
      <c r="AJ187" s="3"/>
      <c r="AK187" s="3"/>
      <c r="AL187" s="3"/>
    </row>
    <row r="188" spans="34:38" ht="14.25" customHeight="1" x14ac:dyDescent="0.35">
      <c r="AH188" s="3"/>
      <c r="AJ188" s="3"/>
      <c r="AK188" s="3"/>
      <c r="AL188" s="3"/>
    </row>
    <row r="189" spans="34:38" ht="14.25" customHeight="1" x14ac:dyDescent="0.35">
      <c r="AH189" s="3"/>
      <c r="AJ189" s="3"/>
      <c r="AK189" s="3"/>
      <c r="AL189" s="3"/>
    </row>
    <row r="190" spans="34:38" ht="14.25" customHeight="1" x14ac:dyDescent="0.35">
      <c r="AH190" s="3"/>
      <c r="AJ190" s="3"/>
      <c r="AK190" s="3"/>
      <c r="AL190" s="3"/>
    </row>
    <row r="191" spans="34:38" ht="14.25" customHeight="1" x14ac:dyDescent="0.35">
      <c r="AH191" s="3"/>
      <c r="AJ191" s="3"/>
      <c r="AK191" s="3"/>
      <c r="AL191" s="3"/>
    </row>
    <row r="192" spans="34:38" ht="14.25" customHeight="1" x14ac:dyDescent="0.35">
      <c r="AH192" s="3"/>
      <c r="AJ192" s="3"/>
      <c r="AK192" s="3"/>
      <c r="AL192" s="3"/>
    </row>
    <row r="193" spans="34:38" ht="14.25" customHeight="1" x14ac:dyDescent="0.35">
      <c r="AH193" s="3"/>
      <c r="AJ193" s="3"/>
      <c r="AK193" s="3"/>
      <c r="AL193" s="3"/>
    </row>
    <row r="194" spans="34:38" ht="14.25" customHeight="1" x14ac:dyDescent="0.35">
      <c r="AH194" s="3"/>
      <c r="AJ194" s="3"/>
      <c r="AK194" s="3"/>
      <c r="AL194" s="3"/>
    </row>
    <row r="195" spans="34:38" ht="14.25" customHeight="1" x14ac:dyDescent="0.35">
      <c r="AH195" s="3"/>
      <c r="AJ195" s="3"/>
      <c r="AK195" s="3"/>
      <c r="AL195" s="3"/>
    </row>
    <row r="196" spans="34:38" ht="14.25" customHeight="1" x14ac:dyDescent="0.35">
      <c r="AH196" s="3"/>
      <c r="AJ196" s="3"/>
      <c r="AK196" s="3"/>
      <c r="AL196" s="3"/>
    </row>
    <row r="197" spans="34:38" ht="14.25" customHeight="1" x14ac:dyDescent="0.35">
      <c r="AH197" s="3"/>
      <c r="AJ197" s="3"/>
      <c r="AK197" s="3"/>
      <c r="AL197" s="3"/>
    </row>
    <row r="198" spans="34:38" ht="14.25" customHeight="1" x14ac:dyDescent="0.35">
      <c r="AH198" s="3"/>
      <c r="AJ198" s="3"/>
      <c r="AK198" s="3"/>
      <c r="AL198" s="3"/>
    </row>
    <row r="199" spans="34:38" ht="14.25" customHeight="1" x14ac:dyDescent="0.35">
      <c r="AH199" s="3"/>
      <c r="AJ199" s="3"/>
      <c r="AK199" s="3"/>
      <c r="AL199" s="3"/>
    </row>
    <row r="200" spans="34:38" ht="14.25" customHeight="1" x14ac:dyDescent="0.35">
      <c r="AH200" s="3"/>
      <c r="AJ200" s="3"/>
      <c r="AK200" s="3"/>
      <c r="AL200" s="3"/>
    </row>
    <row r="201" spans="34:38" ht="14.25" customHeight="1" x14ac:dyDescent="0.35">
      <c r="AH201" s="3"/>
      <c r="AJ201" s="3"/>
      <c r="AK201" s="3"/>
      <c r="AL201" s="3"/>
    </row>
    <row r="202" spans="34:38" ht="14.25" customHeight="1" x14ac:dyDescent="0.35">
      <c r="AH202" s="3"/>
      <c r="AJ202" s="3"/>
      <c r="AK202" s="3"/>
      <c r="AL202" s="3"/>
    </row>
    <row r="203" spans="34:38" ht="14.25" customHeight="1" x14ac:dyDescent="0.35">
      <c r="AH203" s="3"/>
      <c r="AJ203" s="3"/>
      <c r="AK203" s="3"/>
      <c r="AL203" s="3"/>
    </row>
    <row r="204" spans="34:38" ht="14.25" customHeight="1" x14ac:dyDescent="0.35">
      <c r="AH204" s="3"/>
      <c r="AJ204" s="3"/>
      <c r="AK204" s="3"/>
      <c r="AL204" s="3"/>
    </row>
    <row r="205" spans="34:38" ht="14.25" customHeight="1" x14ac:dyDescent="0.35">
      <c r="AH205" s="3"/>
      <c r="AJ205" s="3"/>
      <c r="AK205" s="3"/>
      <c r="AL205" s="3"/>
    </row>
    <row r="206" spans="34:38" ht="14.25" customHeight="1" x14ac:dyDescent="0.35">
      <c r="AH206" s="3"/>
      <c r="AJ206" s="3"/>
      <c r="AK206" s="3"/>
      <c r="AL206" s="3"/>
    </row>
    <row r="207" spans="34:38" ht="14.25" customHeight="1" x14ac:dyDescent="0.35">
      <c r="AH207" s="3"/>
      <c r="AJ207" s="3"/>
      <c r="AK207" s="3"/>
      <c r="AL207" s="3"/>
    </row>
    <row r="208" spans="34:38" ht="14.25" customHeight="1" x14ac:dyDescent="0.35">
      <c r="AH208" s="3"/>
      <c r="AJ208" s="3"/>
      <c r="AK208" s="3"/>
      <c r="AL208" s="3"/>
    </row>
    <row r="209" spans="34:38" ht="14.25" customHeight="1" x14ac:dyDescent="0.35">
      <c r="AH209" s="3"/>
      <c r="AJ209" s="3"/>
      <c r="AK209" s="3"/>
      <c r="AL209" s="3"/>
    </row>
    <row r="210" spans="34:38" ht="14.25" customHeight="1" x14ac:dyDescent="0.35">
      <c r="AH210" s="3"/>
      <c r="AJ210" s="3"/>
      <c r="AK210" s="3"/>
      <c r="AL210" s="3"/>
    </row>
    <row r="211" spans="34:38" ht="14.25" customHeight="1" x14ac:dyDescent="0.35">
      <c r="AH211" s="3"/>
      <c r="AJ211" s="3"/>
      <c r="AK211" s="3"/>
      <c r="AL211" s="3"/>
    </row>
    <row r="212" spans="34:38" ht="14.25" customHeight="1" x14ac:dyDescent="0.35">
      <c r="AH212" s="3"/>
      <c r="AJ212" s="3"/>
      <c r="AK212" s="3"/>
      <c r="AL212" s="3"/>
    </row>
    <row r="213" spans="34:38" ht="14.25" customHeight="1" x14ac:dyDescent="0.35">
      <c r="AH213" s="3"/>
      <c r="AJ213" s="3"/>
      <c r="AK213" s="3"/>
      <c r="AL213" s="3"/>
    </row>
    <row r="214" spans="34:38" ht="14.25" customHeight="1" x14ac:dyDescent="0.35">
      <c r="AH214" s="3"/>
      <c r="AJ214" s="3"/>
      <c r="AK214" s="3"/>
      <c r="AL214" s="3"/>
    </row>
    <row r="215" spans="34:38" ht="14.25" customHeight="1" x14ac:dyDescent="0.35">
      <c r="AH215" s="3"/>
      <c r="AJ215" s="3"/>
      <c r="AK215" s="3"/>
      <c r="AL215" s="3"/>
    </row>
    <row r="216" spans="34:38" ht="14.25" customHeight="1" x14ac:dyDescent="0.35">
      <c r="AH216" s="3"/>
      <c r="AJ216" s="3"/>
      <c r="AK216" s="3"/>
      <c r="AL216" s="3"/>
    </row>
    <row r="217" spans="34:38" ht="14.25" customHeight="1" x14ac:dyDescent="0.35">
      <c r="AH217" s="3"/>
      <c r="AJ217" s="3"/>
      <c r="AK217" s="3"/>
      <c r="AL217" s="3"/>
    </row>
    <row r="218" spans="34:38" ht="14.25" customHeight="1" x14ac:dyDescent="0.35">
      <c r="AH218" s="3"/>
      <c r="AJ218" s="3"/>
      <c r="AK218" s="3"/>
      <c r="AL218" s="3"/>
    </row>
    <row r="219" spans="34:38" ht="14.25" customHeight="1" x14ac:dyDescent="0.35">
      <c r="AH219" s="3"/>
      <c r="AJ219" s="3"/>
      <c r="AK219" s="3"/>
      <c r="AL219" s="3"/>
    </row>
    <row r="220" spans="34:38" ht="14.25" customHeight="1" x14ac:dyDescent="0.35">
      <c r="AH220" s="3"/>
      <c r="AJ220" s="3"/>
      <c r="AK220" s="3"/>
      <c r="AL220" s="3"/>
    </row>
    <row r="221" spans="34:38" ht="14.25" customHeight="1" x14ac:dyDescent="0.35">
      <c r="AH221" s="3"/>
      <c r="AJ221" s="3"/>
      <c r="AK221" s="3"/>
      <c r="AL221" s="3"/>
    </row>
    <row r="222" spans="34:38" ht="14.25" customHeight="1" x14ac:dyDescent="0.35">
      <c r="AH222" s="3"/>
      <c r="AJ222" s="3"/>
      <c r="AK222" s="3"/>
      <c r="AL222" s="3"/>
    </row>
    <row r="223" spans="34:38" ht="14.25" customHeight="1" x14ac:dyDescent="0.35">
      <c r="AH223" s="3"/>
      <c r="AJ223" s="3"/>
      <c r="AK223" s="3"/>
      <c r="AL223" s="3"/>
    </row>
    <row r="224" spans="34:38" ht="14.25" customHeight="1" x14ac:dyDescent="0.35">
      <c r="AH224" s="3"/>
      <c r="AJ224" s="3"/>
      <c r="AK224" s="3"/>
      <c r="AL224" s="3"/>
    </row>
    <row r="225" spans="34:38" ht="14.25" customHeight="1" x14ac:dyDescent="0.35">
      <c r="AH225" s="3"/>
      <c r="AJ225" s="3"/>
      <c r="AK225" s="3"/>
      <c r="AL225" s="3"/>
    </row>
    <row r="226" spans="34:38" ht="14.25" customHeight="1" x14ac:dyDescent="0.35">
      <c r="AH226" s="3"/>
      <c r="AJ226" s="3"/>
      <c r="AK226" s="3"/>
      <c r="AL226" s="3"/>
    </row>
    <row r="227" spans="34:38" ht="14.25" customHeight="1" x14ac:dyDescent="0.35">
      <c r="AH227" s="3"/>
      <c r="AJ227" s="3"/>
      <c r="AK227" s="3"/>
      <c r="AL227" s="3"/>
    </row>
    <row r="228" spans="34:38" ht="14.25" customHeight="1" x14ac:dyDescent="0.35">
      <c r="AH228" s="3"/>
      <c r="AJ228" s="3"/>
      <c r="AK228" s="3"/>
      <c r="AL228" s="3"/>
    </row>
    <row r="229" spans="34:38" ht="14.25" customHeight="1" x14ac:dyDescent="0.35">
      <c r="AH229" s="3"/>
      <c r="AJ229" s="3"/>
      <c r="AK229" s="3"/>
      <c r="AL229" s="3"/>
    </row>
    <row r="230" spans="34:38" ht="14.25" customHeight="1" x14ac:dyDescent="0.35">
      <c r="AH230" s="3"/>
      <c r="AJ230" s="3"/>
      <c r="AK230" s="3"/>
      <c r="AL230" s="3"/>
    </row>
    <row r="231" spans="34:38" ht="14.25" customHeight="1" x14ac:dyDescent="0.35">
      <c r="AH231" s="3"/>
      <c r="AJ231" s="3"/>
      <c r="AK231" s="3"/>
      <c r="AL231" s="3"/>
    </row>
    <row r="232" spans="34:38" ht="14.25" customHeight="1" x14ac:dyDescent="0.35">
      <c r="AH232" s="3"/>
      <c r="AJ232" s="3"/>
      <c r="AK232" s="3"/>
      <c r="AL232" s="3"/>
    </row>
    <row r="233" spans="34:38" ht="14.25" customHeight="1" x14ac:dyDescent="0.35">
      <c r="AH233" s="3"/>
      <c r="AJ233" s="3"/>
      <c r="AK233" s="3"/>
      <c r="AL233" s="3"/>
    </row>
    <row r="234" spans="34:38" ht="14.25" customHeight="1" x14ac:dyDescent="0.35">
      <c r="AH234" s="3"/>
      <c r="AJ234" s="3"/>
      <c r="AK234" s="3"/>
      <c r="AL234" s="3"/>
    </row>
    <row r="235" spans="34:38" ht="14.25" customHeight="1" x14ac:dyDescent="0.35">
      <c r="AH235" s="3"/>
      <c r="AJ235" s="3"/>
      <c r="AK235" s="3"/>
      <c r="AL235" s="3"/>
    </row>
    <row r="236" spans="34:38" ht="14.25" customHeight="1" x14ac:dyDescent="0.35">
      <c r="AH236" s="3"/>
      <c r="AJ236" s="3"/>
      <c r="AK236" s="3"/>
      <c r="AL236" s="3"/>
    </row>
    <row r="237" spans="34:38" ht="14.25" customHeight="1" x14ac:dyDescent="0.35">
      <c r="AH237" s="3"/>
      <c r="AJ237" s="3"/>
      <c r="AK237" s="3"/>
      <c r="AL237" s="3"/>
    </row>
    <row r="238" spans="34:38" ht="14.25" customHeight="1" x14ac:dyDescent="0.35">
      <c r="AH238" s="3"/>
      <c r="AJ238" s="3"/>
      <c r="AK238" s="3"/>
      <c r="AL238" s="3"/>
    </row>
    <row r="239" spans="34:38" ht="14.25" customHeight="1" x14ac:dyDescent="0.35">
      <c r="AH239" s="3"/>
      <c r="AJ239" s="3"/>
      <c r="AK239" s="3"/>
      <c r="AL239" s="3"/>
    </row>
    <row r="240" spans="34:38" ht="14.25" customHeight="1" x14ac:dyDescent="0.35">
      <c r="AH240" s="3"/>
      <c r="AJ240" s="3"/>
      <c r="AK240" s="3"/>
      <c r="AL240" s="3"/>
    </row>
    <row r="241" spans="34:38" ht="14.25" customHeight="1" x14ac:dyDescent="0.35">
      <c r="AH241" s="3"/>
      <c r="AJ241" s="3"/>
      <c r="AK241" s="3"/>
      <c r="AL241" s="3"/>
    </row>
    <row r="242" spans="34:38" ht="14.25" customHeight="1" x14ac:dyDescent="0.35">
      <c r="AH242" s="3"/>
      <c r="AJ242" s="3"/>
      <c r="AK242" s="3"/>
      <c r="AL242" s="3"/>
    </row>
    <row r="243" spans="34:38" ht="14.25" customHeight="1" x14ac:dyDescent="0.35">
      <c r="AH243" s="3"/>
      <c r="AJ243" s="3"/>
      <c r="AK243" s="3"/>
      <c r="AL243" s="3"/>
    </row>
    <row r="244" spans="34:38" ht="14.25" customHeight="1" x14ac:dyDescent="0.35">
      <c r="AH244" s="3"/>
      <c r="AJ244" s="3"/>
      <c r="AK244" s="3"/>
      <c r="AL244" s="3"/>
    </row>
    <row r="245" spans="34:38" ht="14.25" customHeight="1" x14ac:dyDescent="0.35">
      <c r="AH245" s="3"/>
      <c r="AJ245" s="3"/>
      <c r="AK245" s="3"/>
      <c r="AL245" s="3"/>
    </row>
    <row r="246" spans="34:38" ht="14.25" customHeight="1" x14ac:dyDescent="0.35">
      <c r="AH246" s="3"/>
      <c r="AJ246" s="3"/>
      <c r="AK246" s="3"/>
      <c r="AL246" s="3"/>
    </row>
    <row r="247" spans="34:38" ht="14.25" customHeight="1" x14ac:dyDescent="0.35">
      <c r="AH247" s="3"/>
      <c r="AJ247" s="3"/>
      <c r="AK247" s="3"/>
      <c r="AL247" s="3"/>
    </row>
    <row r="248" spans="34:38" ht="14.25" customHeight="1" x14ac:dyDescent="0.35">
      <c r="AH248" s="3"/>
      <c r="AJ248" s="3"/>
      <c r="AK248" s="3"/>
      <c r="AL248" s="3"/>
    </row>
    <row r="249" spans="34:38" ht="14.25" customHeight="1" x14ac:dyDescent="0.35">
      <c r="AH249" s="3"/>
      <c r="AJ249" s="3"/>
      <c r="AK249" s="3"/>
      <c r="AL249" s="3"/>
    </row>
    <row r="250" spans="34:38" ht="14.25" customHeight="1" x14ac:dyDescent="0.35">
      <c r="AH250" s="3"/>
      <c r="AJ250" s="3"/>
      <c r="AK250" s="3"/>
      <c r="AL250" s="3"/>
    </row>
    <row r="251" spans="34:38" ht="14.25" customHeight="1" x14ac:dyDescent="0.35">
      <c r="AH251" s="3"/>
      <c r="AJ251" s="3"/>
      <c r="AK251" s="3"/>
      <c r="AL251" s="3"/>
    </row>
    <row r="252" spans="34:38" ht="14.25" customHeight="1" x14ac:dyDescent="0.35">
      <c r="AH252" s="3"/>
      <c r="AJ252" s="3"/>
      <c r="AK252" s="3"/>
      <c r="AL252" s="3"/>
    </row>
    <row r="253" spans="34:38" ht="14.25" customHeight="1" x14ac:dyDescent="0.35">
      <c r="AH253" s="3"/>
      <c r="AJ253" s="3"/>
      <c r="AK253" s="3"/>
      <c r="AL253" s="3"/>
    </row>
    <row r="254" spans="34:38" ht="14.25" customHeight="1" x14ac:dyDescent="0.35">
      <c r="AH254" s="3"/>
      <c r="AJ254" s="3"/>
      <c r="AK254" s="3"/>
      <c r="AL254" s="3"/>
    </row>
    <row r="255" spans="34:38" ht="14.25" customHeight="1" x14ac:dyDescent="0.35">
      <c r="AH255" s="3"/>
      <c r="AJ255" s="3"/>
      <c r="AK255" s="3"/>
      <c r="AL255" s="3"/>
    </row>
    <row r="256" spans="34:38" ht="14.25" customHeight="1" x14ac:dyDescent="0.35">
      <c r="AH256" s="3"/>
      <c r="AJ256" s="3"/>
      <c r="AK256" s="3"/>
      <c r="AL256" s="3"/>
    </row>
    <row r="257" spans="34:38" ht="14.25" customHeight="1" x14ac:dyDescent="0.35">
      <c r="AH257" s="3"/>
      <c r="AJ257" s="3"/>
      <c r="AK257" s="3"/>
      <c r="AL257" s="3"/>
    </row>
    <row r="258" spans="34:38" ht="14.25" customHeight="1" x14ac:dyDescent="0.35">
      <c r="AH258" s="3"/>
      <c r="AJ258" s="3"/>
      <c r="AK258" s="3"/>
      <c r="AL258" s="3"/>
    </row>
    <row r="259" spans="34:38" ht="14.25" customHeight="1" x14ac:dyDescent="0.35">
      <c r="AH259" s="3"/>
      <c r="AJ259" s="3"/>
      <c r="AK259" s="3"/>
      <c r="AL259" s="3"/>
    </row>
    <row r="260" spans="34:38" ht="14.25" customHeight="1" x14ac:dyDescent="0.35">
      <c r="AH260" s="3"/>
      <c r="AJ260" s="3"/>
      <c r="AK260" s="3"/>
      <c r="AL260" s="3"/>
    </row>
    <row r="261" spans="34:38" ht="14.25" customHeight="1" x14ac:dyDescent="0.35">
      <c r="AH261" s="3"/>
      <c r="AJ261" s="3"/>
      <c r="AK261" s="3"/>
      <c r="AL261" s="3"/>
    </row>
    <row r="262" spans="34:38" ht="14.25" customHeight="1" x14ac:dyDescent="0.35">
      <c r="AH262" s="3"/>
      <c r="AJ262" s="3"/>
      <c r="AK262" s="3"/>
      <c r="AL262" s="3"/>
    </row>
    <row r="263" spans="34:38" ht="14.25" customHeight="1" x14ac:dyDescent="0.35">
      <c r="AH263" s="3"/>
      <c r="AJ263" s="3"/>
      <c r="AK263" s="3"/>
      <c r="AL263" s="3"/>
    </row>
    <row r="264" spans="34:38" ht="14.25" customHeight="1" x14ac:dyDescent="0.35">
      <c r="AH264" s="3"/>
      <c r="AJ264" s="3"/>
      <c r="AK264" s="3"/>
      <c r="AL264" s="3"/>
    </row>
    <row r="265" spans="34:38" ht="14.25" customHeight="1" x14ac:dyDescent="0.35">
      <c r="AH265" s="3"/>
      <c r="AJ265" s="3"/>
      <c r="AK265" s="3"/>
      <c r="AL265" s="3"/>
    </row>
    <row r="266" spans="34:38" ht="14.25" customHeight="1" x14ac:dyDescent="0.35">
      <c r="AH266" s="3"/>
      <c r="AJ266" s="3"/>
      <c r="AK266" s="3"/>
      <c r="AL266" s="3"/>
    </row>
    <row r="267" spans="34:38" ht="14.25" customHeight="1" x14ac:dyDescent="0.35">
      <c r="AH267" s="3"/>
      <c r="AJ267" s="3"/>
      <c r="AK267" s="3"/>
      <c r="AL267" s="3"/>
    </row>
    <row r="268" spans="34:38" ht="14.25" customHeight="1" x14ac:dyDescent="0.35">
      <c r="AH268" s="3"/>
      <c r="AJ268" s="3"/>
      <c r="AK268" s="3"/>
      <c r="AL268" s="3"/>
    </row>
    <row r="269" spans="34:38" ht="14.25" customHeight="1" x14ac:dyDescent="0.35">
      <c r="AH269" s="3"/>
      <c r="AJ269" s="3"/>
      <c r="AK269" s="3"/>
      <c r="AL269" s="3"/>
    </row>
    <row r="270" spans="34:38" ht="14.25" customHeight="1" x14ac:dyDescent="0.35">
      <c r="AH270" s="3"/>
      <c r="AJ270" s="3"/>
      <c r="AK270" s="3"/>
      <c r="AL270" s="3"/>
    </row>
    <row r="271" spans="34:38" ht="14.25" customHeight="1" x14ac:dyDescent="0.35">
      <c r="AH271" s="3"/>
      <c r="AJ271" s="3"/>
      <c r="AK271" s="3"/>
      <c r="AL271" s="3"/>
    </row>
    <row r="272" spans="34:38" ht="14.25" customHeight="1" x14ac:dyDescent="0.35">
      <c r="AH272" s="3"/>
      <c r="AJ272" s="3"/>
      <c r="AK272" s="3"/>
      <c r="AL272" s="3"/>
    </row>
    <row r="273" spans="34:38" ht="14.25" customHeight="1" x14ac:dyDescent="0.35">
      <c r="AH273" s="3"/>
      <c r="AJ273" s="3"/>
      <c r="AK273" s="3"/>
      <c r="AL273" s="3"/>
    </row>
    <row r="274" spans="34:38" ht="14.25" customHeight="1" x14ac:dyDescent="0.35">
      <c r="AH274" s="3"/>
      <c r="AJ274" s="3"/>
      <c r="AK274" s="3"/>
      <c r="AL274" s="3"/>
    </row>
    <row r="275" spans="34:38" ht="14.25" customHeight="1" x14ac:dyDescent="0.35">
      <c r="AH275" s="3"/>
      <c r="AJ275" s="3"/>
      <c r="AK275" s="3"/>
      <c r="AL275" s="3"/>
    </row>
    <row r="276" spans="34:38" ht="14.25" customHeight="1" x14ac:dyDescent="0.35">
      <c r="AH276" s="3"/>
      <c r="AJ276" s="3"/>
      <c r="AK276" s="3"/>
      <c r="AL276" s="3"/>
    </row>
    <row r="277" spans="34:38" ht="14.25" customHeight="1" x14ac:dyDescent="0.35">
      <c r="AH277" s="3"/>
      <c r="AJ277" s="3"/>
      <c r="AK277" s="3"/>
      <c r="AL277" s="3"/>
    </row>
    <row r="278" spans="34:38" ht="14.25" customHeight="1" x14ac:dyDescent="0.35">
      <c r="AH278" s="3"/>
      <c r="AJ278" s="3"/>
      <c r="AK278" s="3"/>
      <c r="AL278" s="3"/>
    </row>
    <row r="279" spans="34:38" ht="14.25" customHeight="1" x14ac:dyDescent="0.35">
      <c r="AH279" s="3"/>
      <c r="AJ279" s="3"/>
      <c r="AK279" s="3"/>
      <c r="AL279" s="3"/>
    </row>
    <row r="280" spans="34:38" ht="14.25" customHeight="1" x14ac:dyDescent="0.35">
      <c r="AH280" s="3"/>
      <c r="AJ280" s="3"/>
      <c r="AK280" s="3"/>
      <c r="AL280" s="3"/>
    </row>
    <row r="281" spans="34:38" ht="14.25" customHeight="1" x14ac:dyDescent="0.35">
      <c r="AH281" s="3"/>
      <c r="AJ281" s="3"/>
      <c r="AK281" s="3"/>
      <c r="AL281" s="3"/>
    </row>
    <row r="282" spans="34:38" ht="14.25" customHeight="1" x14ac:dyDescent="0.35">
      <c r="AH282" s="3"/>
      <c r="AJ282" s="3"/>
      <c r="AK282" s="3"/>
      <c r="AL282" s="3"/>
    </row>
    <row r="283" spans="34:38" ht="14.25" customHeight="1" x14ac:dyDescent="0.35">
      <c r="AH283" s="3"/>
      <c r="AJ283" s="3"/>
      <c r="AK283" s="3"/>
      <c r="AL283" s="3"/>
    </row>
    <row r="284" spans="34:38" ht="14.25" customHeight="1" x14ac:dyDescent="0.35">
      <c r="AH284" s="3"/>
      <c r="AJ284" s="3"/>
      <c r="AK284" s="3"/>
      <c r="AL284" s="3"/>
    </row>
    <row r="285" spans="34:38" ht="14.25" customHeight="1" x14ac:dyDescent="0.35">
      <c r="AH285" s="3"/>
      <c r="AJ285" s="3"/>
      <c r="AK285" s="3"/>
      <c r="AL285" s="3"/>
    </row>
    <row r="286" spans="34:38" ht="14.25" customHeight="1" x14ac:dyDescent="0.35">
      <c r="AH286" s="3"/>
      <c r="AJ286" s="3"/>
      <c r="AK286" s="3"/>
      <c r="AL286" s="3"/>
    </row>
    <row r="287" spans="34:38" ht="14.25" customHeight="1" x14ac:dyDescent="0.35">
      <c r="AH287" s="3"/>
      <c r="AJ287" s="3"/>
      <c r="AK287" s="3"/>
      <c r="AL287" s="3"/>
    </row>
    <row r="288" spans="34:38" ht="14.25" customHeight="1" x14ac:dyDescent="0.35">
      <c r="AH288" s="3"/>
      <c r="AJ288" s="3"/>
      <c r="AK288" s="3"/>
      <c r="AL288" s="3"/>
    </row>
    <row r="289" spans="34:38" ht="14.25" customHeight="1" x14ac:dyDescent="0.35">
      <c r="AH289" s="3"/>
      <c r="AJ289" s="3"/>
      <c r="AK289" s="3"/>
      <c r="AL289" s="3"/>
    </row>
    <row r="290" spans="34:38" ht="14.25" customHeight="1" x14ac:dyDescent="0.35">
      <c r="AH290" s="3"/>
      <c r="AJ290" s="3"/>
      <c r="AK290" s="3"/>
      <c r="AL290" s="3"/>
    </row>
    <row r="291" spans="34:38" ht="14.25" customHeight="1" x14ac:dyDescent="0.35">
      <c r="AH291" s="3"/>
      <c r="AJ291" s="3"/>
      <c r="AK291" s="3"/>
      <c r="AL291" s="3"/>
    </row>
    <row r="292" spans="34:38" ht="14.25" customHeight="1" x14ac:dyDescent="0.35">
      <c r="AH292" s="3"/>
      <c r="AJ292" s="3"/>
      <c r="AK292" s="3"/>
      <c r="AL292" s="3"/>
    </row>
    <row r="293" spans="34:38" ht="14.25" customHeight="1" x14ac:dyDescent="0.35">
      <c r="AH293" s="3"/>
      <c r="AJ293" s="3"/>
      <c r="AK293" s="3"/>
      <c r="AL293" s="3"/>
    </row>
    <row r="294" spans="34:38" ht="14.25" customHeight="1" x14ac:dyDescent="0.35">
      <c r="AH294" s="3"/>
      <c r="AJ294" s="3"/>
      <c r="AK294" s="3"/>
      <c r="AL294" s="3"/>
    </row>
    <row r="295" spans="34:38" ht="14.25" customHeight="1" x14ac:dyDescent="0.35">
      <c r="AH295" s="3"/>
      <c r="AJ295" s="3"/>
      <c r="AK295" s="3"/>
      <c r="AL295" s="3"/>
    </row>
    <row r="296" spans="34:38" ht="14.25" customHeight="1" x14ac:dyDescent="0.35">
      <c r="AH296" s="3"/>
      <c r="AJ296" s="3"/>
      <c r="AK296" s="3"/>
      <c r="AL296" s="3"/>
    </row>
    <row r="297" spans="34:38" ht="14.25" customHeight="1" x14ac:dyDescent="0.35">
      <c r="AH297" s="3"/>
      <c r="AJ297" s="3"/>
      <c r="AK297" s="3"/>
      <c r="AL297" s="3"/>
    </row>
    <row r="298" spans="34:38" ht="14.25" customHeight="1" x14ac:dyDescent="0.35">
      <c r="AH298" s="3"/>
      <c r="AJ298" s="3"/>
      <c r="AK298" s="3"/>
      <c r="AL298" s="3"/>
    </row>
    <row r="299" spans="34:38" ht="14.25" customHeight="1" x14ac:dyDescent="0.35">
      <c r="AH299" s="3"/>
      <c r="AJ299" s="3"/>
      <c r="AK299" s="3"/>
      <c r="AL299" s="3"/>
    </row>
    <row r="300" spans="34:38" ht="14.25" customHeight="1" x14ac:dyDescent="0.35">
      <c r="AH300" s="3"/>
      <c r="AJ300" s="3"/>
      <c r="AK300" s="3"/>
      <c r="AL300" s="3"/>
    </row>
    <row r="301" spans="34:38" ht="14.25" customHeight="1" x14ac:dyDescent="0.35">
      <c r="AH301" s="3"/>
      <c r="AJ301" s="3"/>
      <c r="AK301" s="3"/>
      <c r="AL301" s="3"/>
    </row>
    <row r="302" spans="34:38" ht="14.25" customHeight="1" x14ac:dyDescent="0.35">
      <c r="AH302" s="3"/>
      <c r="AJ302" s="3"/>
      <c r="AK302" s="3"/>
      <c r="AL302" s="3"/>
    </row>
    <row r="303" spans="34:38" ht="14.25" customHeight="1" x14ac:dyDescent="0.35">
      <c r="AH303" s="3"/>
      <c r="AJ303" s="3"/>
      <c r="AK303" s="3"/>
      <c r="AL303" s="3"/>
    </row>
    <row r="304" spans="34:38" ht="14.25" customHeight="1" x14ac:dyDescent="0.35">
      <c r="AH304" s="3"/>
      <c r="AJ304" s="3"/>
      <c r="AK304" s="3"/>
      <c r="AL304" s="3"/>
    </row>
    <row r="305" spans="34:38" ht="14.25" customHeight="1" x14ac:dyDescent="0.35">
      <c r="AH305" s="3"/>
      <c r="AJ305" s="3"/>
      <c r="AK305" s="3"/>
      <c r="AL305" s="3"/>
    </row>
    <row r="306" spans="34:38" ht="14.25" customHeight="1" x14ac:dyDescent="0.35">
      <c r="AH306" s="3"/>
      <c r="AJ306" s="3"/>
      <c r="AK306" s="3"/>
      <c r="AL306" s="3"/>
    </row>
    <row r="307" spans="34:38" ht="14.25" customHeight="1" x14ac:dyDescent="0.35">
      <c r="AH307" s="3"/>
      <c r="AJ307" s="3"/>
      <c r="AK307" s="3"/>
      <c r="AL307" s="3"/>
    </row>
    <row r="308" spans="34:38" ht="14.25" customHeight="1" x14ac:dyDescent="0.35">
      <c r="AH308" s="3"/>
      <c r="AJ308" s="3"/>
      <c r="AK308" s="3"/>
      <c r="AL308" s="3"/>
    </row>
    <row r="309" spans="34:38" ht="14.25" customHeight="1" x14ac:dyDescent="0.35">
      <c r="AH309" s="3"/>
      <c r="AJ309" s="3"/>
      <c r="AK309" s="3"/>
      <c r="AL309" s="3"/>
    </row>
    <row r="310" spans="34:38" ht="14.25" customHeight="1" x14ac:dyDescent="0.35">
      <c r="AH310" s="3"/>
      <c r="AJ310" s="3"/>
      <c r="AK310" s="3"/>
      <c r="AL310" s="3"/>
    </row>
    <row r="311" spans="34:38" ht="14.25" customHeight="1" x14ac:dyDescent="0.35">
      <c r="AH311" s="3"/>
      <c r="AJ311" s="3"/>
      <c r="AK311" s="3"/>
      <c r="AL311" s="3"/>
    </row>
    <row r="312" spans="34:38" ht="14.25" customHeight="1" x14ac:dyDescent="0.35">
      <c r="AH312" s="3"/>
      <c r="AJ312" s="3"/>
      <c r="AK312" s="3"/>
      <c r="AL312" s="3"/>
    </row>
    <row r="313" spans="34:38" ht="14.25" customHeight="1" x14ac:dyDescent="0.35">
      <c r="AH313" s="3"/>
      <c r="AJ313" s="3"/>
      <c r="AK313" s="3"/>
      <c r="AL313" s="3"/>
    </row>
    <row r="314" spans="34:38" ht="14.25" customHeight="1" x14ac:dyDescent="0.35">
      <c r="AH314" s="3"/>
      <c r="AJ314" s="3"/>
      <c r="AK314" s="3"/>
      <c r="AL314" s="3"/>
    </row>
    <row r="315" spans="34:38" ht="14.25" customHeight="1" x14ac:dyDescent="0.35">
      <c r="AH315" s="3"/>
      <c r="AJ315" s="3"/>
      <c r="AK315" s="3"/>
      <c r="AL315" s="3"/>
    </row>
    <row r="316" spans="34:38" ht="14.25" customHeight="1" x14ac:dyDescent="0.35">
      <c r="AH316" s="3"/>
      <c r="AJ316" s="3"/>
      <c r="AK316" s="3"/>
      <c r="AL316" s="3"/>
    </row>
    <row r="317" spans="34:38" ht="14.25" customHeight="1" x14ac:dyDescent="0.35">
      <c r="AH317" s="3"/>
      <c r="AJ317" s="3"/>
      <c r="AK317" s="3"/>
      <c r="AL317" s="3"/>
    </row>
    <row r="318" spans="34:38" ht="14.25" customHeight="1" x14ac:dyDescent="0.35">
      <c r="AH318" s="3"/>
      <c r="AJ318" s="3"/>
      <c r="AK318" s="3"/>
      <c r="AL318" s="3"/>
    </row>
    <row r="319" spans="34:38" ht="14.25" customHeight="1" x14ac:dyDescent="0.35">
      <c r="AH319" s="3"/>
      <c r="AJ319" s="3"/>
      <c r="AK319" s="3"/>
      <c r="AL319" s="3"/>
    </row>
    <row r="320" spans="34:38" ht="14.25" customHeight="1" x14ac:dyDescent="0.35">
      <c r="AH320" s="3"/>
      <c r="AJ320" s="3"/>
      <c r="AK320" s="3"/>
      <c r="AL320" s="3"/>
    </row>
    <row r="321" spans="34:38" ht="14.25" customHeight="1" x14ac:dyDescent="0.35">
      <c r="AH321" s="3"/>
      <c r="AJ321" s="3"/>
      <c r="AK321" s="3"/>
      <c r="AL321" s="3"/>
    </row>
    <row r="322" spans="34:38" ht="14.25" customHeight="1" x14ac:dyDescent="0.35">
      <c r="AH322" s="3"/>
      <c r="AJ322" s="3"/>
      <c r="AK322" s="3"/>
      <c r="AL322" s="3"/>
    </row>
    <row r="323" spans="34:38" ht="14.25" customHeight="1" x14ac:dyDescent="0.35">
      <c r="AH323" s="3"/>
      <c r="AJ323" s="3"/>
      <c r="AK323" s="3"/>
      <c r="AL323" s="3"/>
    </row>
    <row r="324" spans="34:38" ht="14.25" customHeight="1" x14ac:dyDescent="0.35">
      <c r="AH324" s="3"/>
      <c r="AJ324" s="3"/>
      <c r="AK324" s="3"/>
      <c r="AL324" s="3"/>
    </row>
    <row r="325" spans="34:38" ht="14.25" customHeight="1" x14ac:dyDescent="0.35">
      <c r="AH325" s="3"/>
      <c r="AJ325" s="3"/>
      <c r="AK325" s="3"/>
      <c r="AL325" s="3"/>
    </row>
    <row r="326" spans="34:38" ht="14.25" customHeight="1" x14ac:dyDescent="0.35">
      <c r="AH326" s="3"/>
      <c r="AJ326" s="3"/>
      <c r="AK326" s="3"/>
      <c r="AL326" s="3"/>
    </row>
    <row r="327" spans="34:38" ht="14.25" customHeight="1" x14ac:dyDescent="0.35">
      <c r="AH327" s="3"/>
      <c r="AJ327" s="3"/>
      <c r="AK327" s="3"/>
      <c r="AL327" s="3"/>
    </row>
    <row r="328" spans="34:38" ht="14.25" customHeight="1" x14ac:dyDescent="0.35">
      <c r="AH328" s="3"/>
      <c r="AJ328" s="3"/>
      <c r="AK328" s="3"/>
      <c r="AL328" s="3"/>
    </row>
    <row r="329" spans="34:38" ht="14.25" customHeight="1" x14ac:dyDescent="0.35">
      <c r="AH329" s="3"/>
      <c r="AJ329" s="3"/>
      <c r="AK329" s="3"/>
      <c r="AL329" s="3"/>
    </row>
    <row r="330" spans="34:38" ht="14.25" customHeight="1" x14ac:dyDescent="0.35">
      <c r="AH330" s="3"/>
      <c r="AJ330" s="3"/>
      <c r="AK330" s="3"/>
      <c r="AL330" s="3"/>
    </row>
    <row r="331" spans="34:38" ht="14.25" customHeight="1" x14ac:dyDescent="0.35">
      <c r="AH331" s="3"/>
      <c r="AJ331" s="3"/>
      <c r="AK331" s="3"/>
      <c r="AL331" s="3"/>
    </row>
    <row r="332" spans="34:38" ht="14.25" customHeight="1" x14ac:dyDescent="0.35">
      <c r="AH332" s="3"/>
      <c r="AJ332" s="3"/>
      <c r="AK332" s="3"/>
      <c r="AL332" s="3"/>
    </row>
    <row r="333" spans="34:38" ht="14.25" customHeight="1" x14ac:dyDescent="0.35">
      <c r="AH333" s="3"/>
      <c r="AJ333" s="3"/>
      <c r="AK333" s="3"/>
      <c r="AL333" s="3"/>
    </row>
    <row r="334" spans="34:38" ht="14.25" customHeight="1" x14ac:dyDescent="0.35">
      <c r="AH334" s="3"/>
      <c r="AJ334" s="3"/>
      <c r="AK334" s="3"/>
      <c r="AL334" s="3"/>
    </row>
    <row r="335" spans="34:38" ht="14.25" customHeight="1" x14ac:dyDescent="0.35">
      <c r="AH335" s="3"/>
      <c r="AJ335" s="3"/>
      <c r="AK335" s="3"/>
      <c r="AL335" s="3"/>
    </row>
    <row r="336" spans="34:38" ht="14.25" customHeight="1" x14ac:dyDescent="0.35">
      <c r="AH336" s="3"/>
      <c r="AJ336" s="3"/>
      <c r="AK336" s="3"/>
      <c r="AL336" s="3"/>
    </row>
    <row r="337" spans="34:38" ht="14.25" customHeight="1" x14ac:dyDescent="0.35">
      <c r="AH337" s="3"/>
      <c r="AJ337" s="3"/>
      <c r="AK337" s="3"/>
      <c r="AL337" s="3"/>
    </row>
    <row r="338" spans="34:38" ht="14.25" customHeight="1" x14ac:dyDescent="0.35">
      <c r="AH338" s="3"/>
      <c r="AJ338" s="3"/>
      <c r="AK338" s="3"/>
      <c r="AL338" s="3"/>
    </row>
    <row r="339" spans="34:38" ht="14.25" customHeight="1" x14ac:dyDescent="0.35">
      <c r="AH339" s="3"/>
      <c r="AJ339" s="3"/>
      <c r="AK339" s="3"/>
      <c r="AL339" s="3"/>
    </row>
    <row r="340" spans="34:38" ht="14.25" customHeight="1" x14ac:dyDescent="0.35">
      <c r="AH340" s="3"/>
      <c r="AJ340" s="3"/>
      <c r="AK340" s="3"/>
      <c r="AL340" s="3"/>
    </row>
    <row r="341" spans="34:38" ht="14.25" customHeight="1" x14ac:dyDescent="0.35">
      <c r="AH341" s="3"/>
      <c r="AJ341" s="3"/>
      <c r="AK341" s="3"/>
      <c r="AL341" s="3"/>
    </row>
    <row r="342" spans="34:38" ht="14.25" customHeight="1" x14ac:dyDescent="0.35">
      <c r="AH342" s="3"/>
      <c r="AJ342" s="3"/>
      <c r="AK342" s="3"/>
      <c r="AL342" s="3"/>
    </row>
    <row r="343" spans="34:38" ht="14.25" customHeight="1" x14ac:dyDescent="0.35">
      <c r="AH343" s="3"/>
      <c r="AJ343" s="3"/>
      <c r="AK343" s="3"/>
      <c r="AL343" s="3"/>
    </row>
    <row r="344" spans="34:38" ht="14.25" customHeight="1" x14ac:dyDescent="0.35">
      <c r="AH344" s="3"/>
      <c r="AJ344" s="3"/>
      <c r="AK344" s="3"/>
      <c r="AL344" s="3"/>
    </row>
    <row r="345" spans="34:38" ht="14.25" customHeight="1" x14ac:dyDescent="0.35">
      <c r="AH345" s="3"/>
      <c r="AJ345" s="3"/>
      <c r="AK345" s="3"/>
      <c r="AL345" s="3"/>
    </row>
    <row r="346" spans="34:38" ht="14.25" customHeight="1" x14ac:dyDescent="0.35">
      <c r="AH346" s="3"/>
      <c r="AJ346" s="3"/>
      <c r="AK346" s="3"/>
      <c r="AL346" s="3"/>
    </row>
    <row r="347" spans="34:38" ht="14.25" customHeight="1" x14ac:dyDescent="0.35">
      <c r="AH347" s="3"/>
      <c r="AJ347" s="3"/>
      <c r="AK347" s="3"/>
      <c r="AL347" s="3"/>
    </row>
    <row r="348" spans="34:38" ht="14.25" customHeight="1" x14ac:dyDescent="0.35">
      <c r="AH348" s="3"/>
      <c r="AJ348" s="3"/>
      <c r="AK348" s="3"/>
      <c r="AL348" s="3"/>
    </row>
    <row r="349" spans="34:38" ht="14.25" customHeight="1" x14ac:dyDescent="0.35">
      <c r="AH349" s="3"/>
      <c r="AJ349" s="3"/>
      <c r="AK349" s="3"/>
      <c r="AL349" s="3"/>
    </row>
    <row r="350" spans="34:38" ht="14.25" customHeight="1" x14ac:dyDescent="0.35">
      <c r="AH350" s="3"/>
      <c r="AJ350" s="3"/>
      <c r="AK350" s="3"/>
      <c r="AL350" s="3"/>
    </row>
    <row r="351" spans="34:38" ht="14.25" customHeight="1" x14ac:dyDescent="0.35">
      <c r="AH351" s="3"/>
      <c r="AJ351" s="3"/>
      <c r="AK351" s="3"/>
      <c r="AL351" s="3"/>
    </row>
    <row r="352" spans="34:38" ht="14.25" customHeight="1" x14ac:dyDescent="0.35">
      <c r="AH352" s="3"/>
      <c r="AJ352" s="3"/>
      <c r="AK352" s="3"/>
      <c r="AL352" s="3"/>
    </row>
    <row r="353" spans="34:38" ht="14.25" customHeight="1" x14ac:dyDescent="0.35">
      <c r="AH353" s="3"/>
      <c r="AJ353" s="3"/>
      <c r="AK353" s="3"/>
      <c r="AL353" s="3"/>
    </row>
    <row r="354" spans="34:38" ht="14.25" customHeight="1" x14ac:dyDescent="0.35">
      <c r="AH354" s="3"/>
      <c r="AJ354" s="3"/>
      <c r="AK354" s="3"/>
      <c r="AL354" s="3"/>
    </row>
    <row r="355" spans="34:38" ht="14.25" customHeight="1" x14ac:dyDescent="0.35">
      <c r="AH355" s="3"/>
      <c r="AJ355" s="3"/>
      <c r="AK355" s="3"/>
      <c r="AL355" s="3"/>
    </row>
    <row r="356" spans="34:38" ht="14.25" customHeight="1" x14ac:dyDescent="0.35">
      <c r="AH356" s="3"/>
      <c r="AJ356" s="3"/>
      <c r="AK356" s="3"/>
      <c r="AL356" s="3"/>
    </row>
    <row r="357" spans="34:38" ht="14.25" customHeight="1" x14ac:dyDescent="0.35">
      <c r="AH357" s="3"/>
      <c r="AJ357" s="3"/>
      <c r="AK357" s="3"/>
      <c r="AL357" s="3"/>
    </row>
    <row r="358" spans="34:38" ht="14.25" customHeight="1" x14ac:dyDescent="0.35">
      <c r="AH358" s="3"/>
      <c r="AJ358" s="3"/>
      <c r="AK358" s="3"/>
      <c r="AL358" s="3"/>
    </row>
    <row r="359" spans="34:38" ht="14.25" customHeight="1" x14ac:dyDescent="0.35">
      <c r="AH359" s="3"/>
      <c r="AJ359" s="3"/>
      <c r="AK359" s="3"/>
      <c r="AL359" s="3"/>
    </row>
    <row r="360" spans="34:38" ht="14.25" customHeight="1" x14ac:dyDescent="0.35">
      <c r="AH360" s="3"/>
      <c r="AJ360" s="3"/>
      <c r="AK360" s="3"/>
      <c r="AL360" s="3"/>
    </row>
    <row r="361" spans="34:38" ht="14.25" customHeight="1" x14ac:dyDescent="0.35">
      <c r="AH361" s="3"/>
      <c r="AJ361" s="3"/>
      <c r="AK361" s="3"/>
      <c r="AL361" s="3"/>
    </row>
    <row r="362" spans="34:38" ht="14.25" customHeight="1" x14ac:dyDescent="0.35">
      <c r="AH362" s="3"/>
      <c r="AJ362" s="3"/>
      <c r="AK362" s="3"/>
      <c r="AL362" s="3"/>
    </row>
    <row r="363" spans="34:38" ht="14.25" customHeight="1" x14ac:dyDescent="0.35">
      <c r="AH363" s="3"/>
      <c r="AJ363" s="3"/>
      <c r="AK363" s="3"/>
      <c r="AL363" s="3"/>
    </row>
    <row r="364" spans="34:38" ht="14.25" customHeight="1" x14ac:dyDescent="0.35">
      <c r="AH364" s="3"/>
      <c r="AJ364" s="3"/>
      <c r="AK364" s="3"/>
      <c r="AL364" s="3"/>
    </row>
    <row r="365" spans="34:38" ht="14.25" customHeight="1" x14ac:dyDescent="0.35">
      <c r="AH365" s="3"/>
      <c r="AJ365" s="3"/>
      <c r="AK365" s="3"/>
      <c r="AL365" s="3"/>
    </row>
    <row r="366" spans="34:38" ht="14.25" customHeight="1" x14ac:dyDescent="0.35">
      <c r="AH366" s="3"/>
      <c r="AJ366" s="3"/>
      <c r="AK366" s="3"/>
      <c r="AL366" s="3"/>
    </row>
    <row r="367" spans="34:38" ht="14.25" customHeight="1" x14ac:dyDescent="0.35">
      <c r="AH367" s="3"/>
      <c r="AJ367" s="3"/>
      <c r="AK367" s="3"/>
      <c r="AL367" s="3"/>
    </row>
    <row r="368" spans="34:38" ht="14.25" customHeight="1" x14ac:dyDescent="0.35">
      <c r="AH368" s="3"/>
      <c r="AJ368" s="3"/>
      <c r="AK368" s="3"/>
      <c r="AL368" s="3"/>
    </row>
    <row r="369" spans="34:38" ht="14.25" customHeight="1" x14ac:dyDescent="0.35">
      <c r="AH369" s="3"/>
      <c r="AJ369" s="3"/>
      <c r="AK369" s="3"/>
      <c r="AL369" s="3"/>
    </row>
    <row r="370" spans="34:38" ht="14.25" customHeight="1" x14ac:dyDescent="0.35">
      <c r="AH370" s="3"/>
      <c r="AJ370" s="3"/>
      <c r="AK370" s="3"/>
      <c r="AL370" s="3"/>
    </row>
    <row r="371" spans="34:38" ht="14.25" customHeight="1" x14ac:dyDescent="0.35">
      <c r="AH371" s="3"/>
      <c r="AJ371" s="3"/>
      <c r="AK371" s="3"/>
      <c r="AL371" s="3"/>
    </row>
    <row r="372" spans="34:38" ht="14.25" customHeight="1" x14ac:dyDescent="0.35">
      <c r="AH372" s="3"/>
      <c r="AJ372" s="3"/>
      <c r="AK372" s="3"/>
      <c r="AL372" s="3"/>
    </row>
    <row r="373" spans="34:38" ht="14.25" customHeight="1" x14ac:dyDescent="0.35">
      <c r="AH373" s="3"/>
      <c r="AJ373" s="3"/>
      <c r="AK373" s="3"/>
      <c r="AL373" s="3"/>
    </row>
    <row r="374" spans="34:38" ht="14.25" customHeight="1" x14ac:dyDescent="0.35">
      <c r="AH374" s="3"/>
      <c r="AJ374" s="3"/>
      <c r="AK374" s="3"/>
      <c r="AL374" s="3"/>
    </row>
    <row r="375" spans="34:38" ht="14.25" customHeight="1" x14ac:dyDescent="0.35">
      <c r="AH375" s="3"/>
      <c r="AJ375" s="3"/>
      <c r="AK375" s="3"/>
      <c r="AL375" s="3"/>
    </row>
    <row r="376" spans="34:38" ht="14.25" customHeight="1" x14ac:dyDescent="0.35">
      <c r="AH376" s="3"/>
      <c r="AJ376" s="3"/>
      <c r="AK376" s="3"/>
      <c r="AL376" s="3"/>
    </row>
    <row r="377" spans="34:38" ht="14.25" customHeight="1" x14ac:dyDescent="0.35">
      <c r="AH377" s="3"/>
      <c r="AJ377" s="3"/>
      <c r="AK377" s="3"/>
      <c r="AL377" s="3"/>
    </row>
    <row r="378" spans="34:38" ht="14.25" customHeight="1" x14ac:dyDescent="0.35">
      <c r="AH378" s="3"/>
      <c r="AJ378" s="3"/>
      <c r="AK378" s="3"/>
      <c r="AL378" s="3"/>
    </row>
    <row r="379" spans="34:38" ht="14.25" customHeight="1" x14ac:dyDescent="0.35">
      <c r="AH379" s="3"/>
      <c r="AJ379" s="3"/>
      <c r="AK379" s="3"/>
      <c r="AL379" s="3"/>
    </row>
    <row r="380" spans="34:38" ht="14.25" customHeight="1" x14ac:dyDescent="0.35">
      <c r="AH380" s="3"/>
      <c r="AJ380" s="3"/>
      <c r="AK380" s="3"/>
      <c r="AL380" s="3"/>
    </row>
    <row r="381" spans="34:38" ht="14.25" customHeight="1" x14ac:dyDescent="0.35">
      <c r="AH381" s="3"/>
      <c r="AJ381" s="3"/>
      <c r="AK381" s="3"/>
      <c r="AL381" s="3"/>
    </row>
    <row r="382" spans="34:38" ht="14.25" customHeight="1" x14ac:dyDescent="0.35">
      <c r="AH382" s="3"/>
      <c r="AJ382" s="3"/>
      <c r="AK382" s="3"/>
      <c r="AL382" s="3"/>
    </row>
    <row r="383" spans="34:38" ht="14.25" customHeight="1" x14ac:dyDescent="0.35">
      <c r="AH383" s="3"/>
      <c r="AJ383" s="3"/>
      <c r="AK383" s="3"/>
      <c r="AL383" s="3"/>
    </row>
    <row r="384" spans="34:38" ht="14.25" customHeight="1" x14ac:dyDescent="0.35">
      <c r="AH384" s="3"/>
      <c r="AJ384" s="3"/>
      <c r="AK384" s="3"/>
      <c r="AL384" s="3"/>
    </row>
    <row r="385" spans="34:38" ht="14.25" customHeight="1" x14ac:dyDescent="0.35">
      <c r="AH385" s="3"/>
      <c r="AJ385" s="3"/>
      <c r="AK385" s="3"/>
      <c r="AL385" s="3"/>
    </row>
    <row r="386" spans="34:38" ht="14.25" customHeight="1" x14ac:dyDescent="0.35">
      <c r="AH386" s="3"/>
      <c r="AJ386" s="3"/>
      <c r="AK386" s="3"/>
      <c r="AL386" s="3"/>
    </row>
    <row r="387" spans="34:38" ht="14.25" customHeight="1" x14ac:dyDescent="0.35">
      <c r="AH387" s="3"/>
      <c r="AJ387" s="3"/>
      <c r="AK387" s="3"/>
      <c r="AL387" s="3"/>
    </row>
    <row r="388" spans="34:38" ht="14.25" customHeight="1" x14ac:dyDescent="0.35">
      <c r="AH388" s="3"/>
      <c r="AJ388" s="3"/>
      <c r="AK388" s="3"/>
      <c r="AL388" s="3"/>
    </row>
    <row r="389" spans="34:38" ht="14.25" customHeight="1" x14ac:dyDescent="0.35">
      <c r="AH389" s="3"/>
      <c r="AJ389" s="3"/>
      <c r="AK389" s="3"/>
      <c r="AL389" s="3"/>
    </row>
    <row r="390" spans="34:38" ht="14.25" customHeight="1" x14ac:dyDescent="0.35">
      <c r="AH390" s="3"/>
      <c r="AJ390" s="3"/>
      <c r="AK390" s="3"/>
      <c r="AL390" s="3"/>
    </row>
    <row r="391" spans="34:38" ht="14.25" customHeight="1" x14ac:dyDescent="0.35">
      <c r="AH391" s="3"/>
      <c r="AJ391" s="3"/>
      <c r="AK391" s="3"/>
      <c r="AL391" s="3"/>
    </row>
    <row r="392" spans="34:38" ht="14.25" customHeight="1" x14ac:dyDescent="0.35">
      <c r="AH392" s="3"/>
      <c r="AJ392" s="3"/>
      <c r="AK392" s="3"/>
      <c r="AL392" s="3"/>
    </row>
    <row r="393" spans="34:38" ht="14.25" customHeight="1" x14ac:dyDescent="0.35">
      <c r="AH393" s="3"/>
      <c r="AJ393" s="3"/>
      <c r="AK393" s="3"/>
      <c r="AL393" s="3"/>
    </row>
    <row r="394" spans="34:38" ht="14.25" customHeight="1" x14ac:dyDescent="0.35">
      <c r="AH394" s="3"/>
      <c r="AJ394" s="3"/>
      <c r="AK394" s="3"/>
      <c r="AL394" s="3"/>
    </row>
    <row r="395" spans="34:38" ht="14.25" customHeight="1" x14ac:dyDescent="0.35">
      <c r="AH395" s="3"/>
      <c r="AJ395" s="3"/>
      <c r="AK395" s="3"/>
      <c r="AL395" s="3"/>
    </row>
    <row r="396" spans="34:38" ht="14.25" customHeight="1" x14ac:dyDescent="0.35">
      <c r="AH396" s="3"/>
      <c r="AJ396" s="3"/>
      <c r="AK396" s="3"/>
      <c r="AL396" s="3"/>
    </row>
    <row r="397" spans="34:38" ht="14.25" customHeight="1" x14ac:dyDescent="0.35">
      <c r="AH397" s="3"/>
      <c r="AJ397" s="3"/>
      <c r="AK397" s="3"/>
      <c r="AL397" s="3"/>
    </row>
    <row r="398" spans="34:38" ht="14.25" customHeight="1" x14ac:dyDescent="0.35">
      <c r="AH398" s="3"/>
      <c r="AJ398" s="3"/>
      <c r="AK398" s="3"/>
      <c r="AL398" s="3"/>
    </row>
    <row r="399" spans="34:38" ht="14.25" customHeight="1" x14ac:dyDescent="0.35">
      <c r="AH399" s="3"/>
      <c r="AJ399" s="3"/>
      <c r="AK399" s="3"/>
      <c r="AL399" s="3"/>
    </row>
    <row r="400" spans="34:38" ht="14.25" customHeight="1" x14ac:dyDescent="0.35">
      <c r="AH400" s="3"/>
      <c r="AJ400" s="3"/>
      <c r="AK400" s="3"/>
      <c r="AL400" s="3"/>
    </row>
    <row r="401" spans="34:38" ht="14.25" customHeight="1" x14ac:dyDescent="0.35">
      <c r="AH401" s="3"/>
      <c r="AJ401" s="3"/>
      <c r="AK401" s="3"/>
      <c r="AL401" s="3"/>
    </row>
    <row r="402" spans="34:38" ht="14.25" customHeight="1" x14ac:dyDescent="0.35">
      <c r="AH402" s="3"/>
      <c r="AJ402" s="3"/>
      <c r="AK402" s="3"/>
      <c r="AL402" s="3"/>
    </row>
    <row r="403" spans="34:38" ht="14.25" customHeight="1" x14ac:dyDescent="0.35">
      <c r="AH403" s="3"/>
      <c r="AJ403" s="3"/>
      <c r="AK403" s="3"/>
      <c r="AL403" s="3"/>
    </row>
    <row r="404" spans="34:38" ht="14.25" customHeight="1" x14ac:dyDescent="0.35">
      <c r="AH404" s="3"/>
      <c r="AJ404" s="3"/>
      <c r="AK404" s="3"/>
      <c r="AL404" s="3"/>
    </row>
    <row r="405" spans="34:38" ht="14.25" customHeight="1" x14ac:dyDescent="0.35">
      <c r="AH405" s="3"/>
      <c r="AJ405" s="3"/>
      <c r="AK405" s="3"/>
      <c r="AL405" s="3"/>
    </row>
    <row r="406" spans="34:38" ht="14.25" customHeight="1" x14ac:dyDescent="0.35">
      <c r="AH406" s="3"/>
      <c r="AJ406" s="3"/>
      <c r="AK406" s="3"/>
      <c r="AL406" s="3"/>
    </row>
    <row r="407" spans="34:38" ht="14.25" customHeight="1" x14ac:dyDescent="0.35">
      <c r="AH407" s="3"/>
      <c r="AJ407" s="3"/>
      <c r="AK407" s="3"/>
      <c r="AL407" s="3"/>
    </row>
    <row r="408" spans="34:38" ht="14.25" customHeight="1" x14ac:dyDescent="0.35">
      <c r="AH408" s="3"/>
      <c r="AJ408" s="3"/>
      <c r="AK408" s="3"/>
      <c r="AL408" s="3"/>
    </row>
    <row r="409" spans="34:38" ht="14.25" customHeight="1" x14ac:dyDescent="0.35">
      <c r="AH409" s="3"/>
      <c r="AJ409" s="3"/>
      <c r="AK409" s="3"/>
      <c r="AL409" s="3"/>
    </row>
    <row r="410" spans="34:38" ht="14.25" customHeight="1" x14ac:dyDescent="0.35">
      <c r="AH410" s="3"/>
      <c r="AJ410" s="3"/>
      <c r="AK410" s="3"/>
      <c r="AL410" s="3"/>
    </row>
    <row r="411" spans="34:38" ht="14.25" customHeight="1" x14ac:dyDescent="0.35">
      <c r="AH411" s="3"/>
      <c r="AJ411" s="3"/>
      <c r="AK411" s="3"/>
      <c r="AL411" s="3"/>
    </row>
    <row r="412" spans="34:38" ht="14.25" customHeight="1" x14ac:dyDescent="0.35">
      <c r="AH412" s="3"/>
      <c r="AJ412" s="3"/>
      <c r="AK412" s="3"/>
      <c r="AL412" s="3"/>
    </row>
    <row r="413" spans="34:38" ht="14.25" customHeight="1" x14ac:dyDescent="0.35">
      <c r="AH413" s="3"/>
      <c r="AJ413" s="3"/>
      <c r="AK413" s="3"/>
      <c r="AL413" s="3"/>
    </row>
    <row r="414" spans="34:38" ht="14.25" customHeight="1" x14ac:dyDescent="0.35">
      <c r="AH414" s="3"/>
      <c r="AJ414" s="3"/>
      <c r="AK414" s="3"/>
      <c r="AL414" s="3"/>
    </row>
    <row r="415" spans="34:38" ht="14.25" customHeight="1" x14ac:dyDescent="0.35">
      <c r="AH415" s="3"/>
      <c r="AJ415" s="3"/>
      <c r="AK415" s="3"/>
      <c r="AL415" s="3"/>
    </row>
    <row r="416" spans="34:38" ht="14.25" customHeight="1" x14ac:dyDescent="0.35">
      <c r="AH416" s="3"/>
      <c r="AJ416" s="3"/>
      <c r="AK416" s="3"/>
      <c r="AL416" s="3"/>
    </row>
    <row r="417" spans="34:38" ht="14.25" customHeight="1" x14ac:dyDescent="0.35">
      <c r="AH417" s="3"/>
      <c r="AJ417" s="3"/>
      <c r="AK417" s="3"/>
      <c r="AL417" s="3"/>
    </row>
    <row r="418" spans="34:38" ht="14.25" customHeight="1" x14ac:dyDescent="0.35">
      <c r="AH418" s="3"/>
      <c r="AJ418" s="3"/>
      <c r="AK418" s="3"/>
      <c r="AL418" s="3"/>
    </row>
    <row r="419" spans="34:38" ht="14.25" customHeight="1" x14ac:dyDescent="0.35">
      <c r="AH419" s="3"/>
      <c r="AJ419" s="3"/>
      <c r="AK419" s="3"/>
      <c r="AL419" s="3"/>
    </row>
    <row r="420" spans="34:38" ht="14.25" customHeight="1" x14ac:dyDescent="0.35">
      <c r="AH420" s="3"/>
      <c r="AJ420" s="3"/>
      <c r="AK420" s="3"/>
      <c r="AL420" s="3"/>
    </row>
    <row r="421" spans="34:38" ht="14.25" customHeight="1" x14ac:dyDescent="0.35">
      <c r="AH421" s="3"/>
      <c r="AJ421" s="3"/>
      <c r="AK421" s="3"/>
      <c r="AL421" s="3"/>
    </row>
    <row r="422" spans="34:38" ht="14.25" customHeight="1" x14ac:dyDescent="0.35">
      <c r="AH422" s="3"/>
      <c r="AJ422" s="3"/>
      <c r="AK422" s="3"/>
      <c r="AL422" s="3"/>
    </row>
    <row r="423" spans="34:38" ht="14.25" customHeight="1" x14ac:dyDescent="0.35">
      <c r="AH423" s="3"/>
      <c r="AJ423" s="3"/>
      <c r="AK423" s="3"/>
      <c r="AL423" s="3"/>
    </row>
    <row r="424" spans="34:38" ht="14.25" customHeight="1" x14ac:dyDescent="0.35">
      <c r="AH424" s="3"/>
      <c r="AJ424" s="3"/>
      <c r="AK424" s="3"/>
      <c r="AL424" s="3"/>
    </row>
    <row r="425" spans="34:38" ht="14.25" customHeight="1" x14ac:dyDescent="0.35">
      <c r="AH425" s="3"/>
      <c r="AJ425" s="3"/>
      <c r="AK425" s="3"/>
      <c r="AL425" s="3"/>
    </row>
    <row r="426" spans="34:38" ht="14.25" customHeight="1" x14ac:dyDescent="0.35">
      <c r="AH426" s="3"/>
      <c r="AJ426" s="3"/>
      <c r="AK426" s="3"/>
      <c r="AL426" s="3"/>
    </row>
    <row r="427" spans="34:38" ht="14.25" customHeight="1" x14ac:dyDescent="0.35">
      <c r="AH427" s="3"/>
      <c r="AJ427" s="3"/>
      <c r="AK427" s="3"/>
      <c r="AL427" s="3"/>
    </row>
    <row r="428" spans="34:38" ht="14.25" customHeight="1" x14ac:dyDescent="0.35">
      <c r="AH428" s="3"/>
      <c r="AJ428" s="3"/>
      <c r="AK428" s="3"/>
      <c r="AL428" s="3"/>
    </row>
    <row r="429" spans="34:38" ht="14.25" customHeight="1" x14ac:dyDescent="0.35">
      <c r="AH429" s="3"/>
      <c r="AJ429" s="3"/>
      <c r="AK429" s="3"/>
      <c r="AL429" s="3"/>
    </row>
    <row r="430" spans="34:38" ht="14.25" customHeight="1" x14ac:dyDescent="0.35">
      <c r="AH430" s="3"/>
      <c r="AJ430" s="3"/>
      <c r="AK430" s="3"/>
      <c r="AL430" s="3"/>
    </row>
    <row r="431" spans="34:38" ht="14.25" customHeight="1" x14ac:dyDescent="0.35">
      <c r="AH431" s="3"/>
      <c r="AJ431" s="3"/>
      <c r="AK431" s="3"/>
      <c r="AL431" s="3"/>
    </row>
    <row r="432" spans="34:38" ht="14.25" customHeight="1" x14ac:dyDescent="0.35">
      <c r="AH432" s="3"/>
      <c r="AJ432" s="3"/>
      <c r="AK432" s="3"/>
      <c r="AL432" s="3"/>
    </row>
    <row r="433" spans="34:38" ht="14.25" customHeight="1" x14ac:dyDescent="0.35">
      <c r="AH433" s="3"/>
      <c r="AJ433" s="3"/>
      <c r="AK433" s="3"/>
      <c r="AL433" s="3"/>
    </row>
    <row r="434" spans="34:38" ht="14.25" customHeight="1" x14ac:dyDescent="0.35">
      <c r="AH434" s="3"/>
      <c r="AJ434" s="3"/>
      <c r="AK434" s="3"/>
      <c r="AL434" s="3"/>
    </row>
    <row r="435" spans="34:38" ht="14.25" customHeight="1" x14ac:dyDescent="0.35">
      <c r="AH435" s="3"/>
      <c r="AJ435" s="3"/>
      <c r="AK435" s="3"/>
      <c r="AL435" s="3"/>
    </row>
    <row r="436" spans="34:38" ht="14.25" customHeight="1" x14ac:dyDescent="0.35">
      <c r="AH436" s="3"/>
      <c r="AJ436" s="3"/>
      <c r="AK436" s="3"/>
      <c r="AL436" s="3"/>
    </row>
    <row r="437" spans="34:38" ht="14.25" customHeight="1" x14ac:dyDescent="0.35">
      <c r="AH437" s="3"/>
      <c r="AJ437" s="3"/>
      <c r="AK437" s="3"/>
      <c r="AL437" s="3"/>
    </row>
    <row r="438" spans="34:38" ht="14.25" customHeight="1" x14ac:dyDescent="0.35">
      <c r="AH438" s="3"/>
      <c r="AJ438" s="3"/>
      <c r="AK438" s="3"/>
      <c r="AL438" s="3"/>
    </row>
    <row r="439" spans="34:38" ht="14.25" customHeight="1" x14ac:dyDescent="0.35">
      <c r="AH439" s="3"/>
      <c r="AJ439" s="3"/>
      <c r="AK439" s="3"/>
      <c r="AL439" s="3"/>
    </row>
    <row r="440" spans="34:38" ht="14.25" customHeight="1" x14ac:dyDescent="0.35">
      <c r="AH440" s="3"/>
      <c r="AJ440" s="3"/>
      <c r="AK440" s="3"/>
      <c r="AL440" s="3"/>
    </row>
    <row r="441" spans="34:38" ht="14.25" customHeight="1" x14ac:dyDescent="0.35">
      <c r="AH441" s="3"/>
      <c r="AJ441" s="3"/>
      <c r="AK441" s="3"/>
      <c r="AL441" s="3"/>
    </row>
    <row r="442" spans="34:38" ht="14.25" customHeight="1" x14ac:dyDescent="0.35">
      <c r="AH442" s="3"/>
      <c r="AJ442" s="3"/>
      <c r="AK442" s="3"/>
      <c r="AL442" s="3"/>
    </row>
    <row r="443" spans="34:38" ht="14.25" customHeight="1" x14ac:dyDescent="0.35">
      <c r="AH443" s="3"/>
      <c r="AJ443" s="3"/>
      <c r="AK443" s="3"/>
      <c r="AL443" s="3"/>
    </row>
    <row r="444" spans="34:38" ht="14.25" customHeight="1" x14ac:dyDescent="0.35">
      <c r="AH444" s="3"/>
      <c r="AJ444" s="3"/>
      <c r="AK444" s="3"/>
      <c r="AL444" s="3"/>
    </row>
    <row r="445" spans="34:38" ht="14.25" customHeight="1" x14ac:dyDescent="0.35">
      <c r="AH445" s="3"/>
      <c r="AJ445" s="3"/>
      <c r="AK445" s="3"/>
      <c r="AL445" s="3"/>
    </row>
    <row r="446" spans="34:38" ht="14.25" customHeight="1" x14ac:dyDescent="0.35">
      <c r="AH446" s="3"/>
      <c r="AJ446" s="3"/>
      <c r="AK446" s="3"/>
      <c r="AL446" s="3"/>
    </row>
    <row r="447" spans="34:38" ht="14.25" customHeight="1" x14ac:dyDescent="0.35">
      <c r="AH447" s="3"/>
      <c r="AJ447" s="3"/>
      <c r="AK447" s="3"/>
      <c r="AL447" s="3"/>
    </row>
    <row r="448" spans="34:38" ht="14.25" customHeight="1" x14ac:dyDescent="0.35">
      <c r="AH448" s="3"/>
      <c r="AJ448" s="3"/>
      <c r="AK448" s="3"/>
      <c r="AL448" s="3"/>
    </row>
    <row r="449" spans="34:38" ht="14.25" customHeight="1" x14ac:dyDescent="0.35">
      <c r="AH449" s="3"/>
      <c r="AJ449" s="3"/>
      <c r="AK449" s="3"/>
      <c r="AL449" s="3"/>
    </row>
    <row r="450" spans="34:38" ht="14.25" customHeight="1" x14ac:dyDescent="0.35">
      <c r="AH450" s="3"/>
      <c r="AJ450" s="3"/>
      <c r="AK450" s="3"/>
      <c r="AL450" s="3"/>
    </row>
    <row r="451" spans="34:38" ht="14.25" customHeight="1" x14ac:dyDescent="0.35">
      <c r="AH451" s="3"/>
      <c r="AJ451" s="3"/>
      <c r="AK451" s="3"/>
      <c r="AL451" s="3"/>
    </row>
    <row r="452" spans="34:38" ht="14.25" customHeight="1" x14ac:dyDescent="0.35">
      <c r="AH452" s="3"/>
      <c r="AJ452" s="3"/>
      <c r="AK452" s="3"/>
      <c r="AL452" s="3"/>
    </row>
    <row r="453" spans="34:38" ht="14.25" customHeight="1" x14ac:dyDescent="0.35">
      <c r="AH453" s="3"/>
      <c r="AJ453" s="3"/>
      <c r="AK453" s="3"/>
      <c r="AL453" s="3"/>
    </row>
    <row r="454" spans="34:38" ht="14.25" customHeight="1" x14ac:dyDescent="0.35">
      <c r="AH454" s="3"/>
      <c r="AJ454" s="3"/>
      <c r="AK454" s="3"/>
      <c r="AL454" s="3"/>
    </row>
    <row r="455" spans="34:38" ht="14.25" customHeight="1" x14ac:dyDescent="0.35">
      <c r="AH455" s="3"/>
      <c r="AJ455" s="3"/>
      <c r="AK455" s="3"/>
      <c r="AL455" s="3"/>
    </row>
    <row r="456" spans="34:38" ht="14.25" customHeight="1" x14ac:dyDescent="0.35">
      <c r="AH456" s="3"/>
      <c r="AJ456" s="3"/>
      <c r="AK456" s="3"/>
      <c r="AL456" s="3"/>
    </row>
    <row r="457" spans="34:38" ht="14.25" customHeight="1" x14ac:dyDescent="0.35">
      <c r="AH457" s="3"/>
      <c r="AJ457" s="3"/>
      <c r="AK457" s="3"/>
      <c r="AL457" s="3"/>
    </row>
    <row r="458" spans="34:38" ht="14.25" customHeight="1" x14ac:dyDescent="0.35">
      <c r="AH458" s="3"/>
      <c r="AJ458" s="3"/>
      <c r="AK458" s="3"/>
      <c r="AL458" s="3"/>
    </row>
    <row r="459" spans="34:38" ht="14.25" customHeight="1" x14ac:dyDescent="0.35">
      <c r="AH459" s="3"/>
      <c r="AJ459" s="3"/>
      <c r="AK459" s="3"/>
      <c r="AL459" s="3"/>
    </row>
    <row r="460" spans="34:38" ht="14.25" customHeight="1" x14ac:dyDescent="0.35">
      <c r="AH460" s="3"/>
      <c r="AJ460" s="3"/>
      <c r="AK460" s="3"/>
      <c r="AL460" s="3"/>
    </row>
    <row r="461" spans="34:38" ht="14.25" customHeight="1" x14ac:dyDescent="0.35">
      <c r="AH461" s="3"/>
      <c r="AJ461" s="3"/>
      <c r="AK461" s="3"/>
      <c r="AL461" s="3"/>
    </row>
    <row r="462" spans="34:38" ht="14.25" customHeight="1" x14ac:dyDescent="0.35">
      <c r="AH462" s="3"/>
      <c r="AJ462" s="3"/>
      <c r="AK462" s="3"/>
      <c r="AL462" s="3"/>
    </row>
    <row r="463" spans="34:38" ht="14.25" customHeight="1" x14ac:dyDescent="0.35">
      <c r="AH463" s="3"/>
      <c r="AJ463" s="3"/>
      <c r="AK463" s="3"/>
      <c r="AL463" s="3"/>
    </row>
    <row r="464" spans="34:38" ht="14.25" customHeight="1" x14ac:dyDescent="0.35">
      <c r="AH464" s="3"/>
      <c r="AJ464" s="3"/>
      <c r="AK464" s="3"/>
      <c r="AL464" s="3"/>
    </row>
    <row r="465" spans="34:38" ht="14.25" customHeight="1" x14ac:dyDescent="0.35">
      <c r="AH465" s="3"/>
      <c r="AJ465" s="3"/>
      <c r="AK465" s="3"/>
      <c r="AL465" s="3"/>
    </row>
    <row r="466" spans="34:38" ht="14.25" customHeight="1" x14ac:dyDescent="0.35">
      <c r="AH466" s="3"/>
      <c r="AJ466" s="3"/>
      <c r="AK466" s="3"/>
      <c r="AL466" s="3"/>
    </row>
    <row r="467" spans="34:38" ht="14.25" customHeight="1" x14ac:dyDescent="0.35">
      <c r="AH467" s="3"/>
      <c r="AJ467" s="3"/>
      <c r="AK467" s="3"/>
      <c r="AL467" s="3"/>
    </row>
    <row r="468" spans="34:38" ht="14.25" customHeight="1" x14ac:dyDescent="0.35">
      <c r="AH468" s="3"/>
      <c r="AJ468" s="3"/>
      <c r="AK468" s="3"/>
      <c r="AL468" s="3"/>
    </row>
    <row r="469" spans="34:38" ht="14.25" customHeight="1" x14ac:dyDescent="0.35">
      <c r="AH469" s="3"/>
      <c r="AJ469" s="3"/>
      <c r="AK469" s="3"/>
      <c r="AL469" s="3"/>
    </row>
    <row r="470" spans="34:38" ht="14.25" customHeight="1" x14ac:dyDescent="0.35">
      <c r="AH470" s="3"/>
      <c r="AJ470" s="3"/>
      <c r="AK470" s="3"/>
      <c r="AL470" s="3"/>
    </row>
    <row r="471" spans="34:38" ht="14.25" customHeight="1" x14ac:dyDescent="0.35">
      <c r="AH471" s="3"/>
      <c r="AJ471" s="3"/>
      <c r="AK471" s="3"/>
      <c r="AL471" s="3"/>
    </row>
    <row r="472" spans="34:38" ht="14.25" customHeight="1" x14ac:dyDescent="0.35">
      <c r="AH472" s="3"/>
      <c r="AJ472" s="3"/>
      <c r="AK472" s="3"/>
      <c r="AL472" s="3"/>
    </row>
    <row r="473" spans="34:38" ht="14.25" customHeight="1" x14ac:dyDescent="0.35">
      <c r="AH473" s="3"/>
      <c r="AJ473" s="3"/>
      <c r="AK473" s="3"/>
      <c r="AL473" s="3"/>
    </row>
    <row r="474" spans="34:38" ht="14.25" customHeight="1" x14ac:dyDescent="0.35">
      <c r="AH474" s="3"/>
      <c r="AJ474" s="3"/>
      <c r="AK474" s="3"/>
      <c r="AL474" s="3"/>
    </row>
    <row r="475" spans="34:38" ht="14.25" customHeight="1" x14ac:dyDescent="0.35">
      <c r="AH475" s="3"/>
      <c r="AJ475" s="3"/>
      <c r="AK475" s="3"/>
      <c r="AL475" s="3"/>
    </row>
    <row r="476" spans="34:38" ht="14.25" customHeight="1" x14ac:dyDescent="0.35">
      <c r="AH476" s="3"/>
      <c r="AJ476" s="3"/>
      <c r="AK476" s="3"/>
      <c r="AL476" s="3"/>
    </row>
    <row r="477" spans="34:38" ht="14.25" customHeight="1" x14ac:dyDescent="0.35">
      <c r="AH477" s="3"/>
      <c r="AJ477" s="3"/>
      <c r="AK477" s="3"/>
      <c r="AL477" s="3"/>
    </row>
    <row r="478" spans="34:38" ht="14.25" customHeight="1" x14ac:dyDescent="0.35">
      <c r="AH478" s="3"/>
      <c r="AJ478" s="3"/>
      <c r="AK478" s="3"/>
      <c r="AL478" s="3"/>
    </row>
    <row r="479" spans="34:38" ht="14.25" customHeight="1" x14ac:dyDescent="0.35">
      <c r="AH479" s="3"/>
      <c r="AJ479" s="3"/>
      <c r="AK479" s="3"/>
      <c r="AL479" s="3"/>
    </row>
    <row r="480" spans="34:38" ht="14.25" customHeight="1" x14ac:dyDescent="0.35">
      <c r="AH480" s="3"/>
      <c r="AJ480" s="3"/>
      <c r="AK480" s="3"/>
      <c r="AL480" s="3"/>
    </row>
    <row r="481" spans="34:38" ht="14.25" customHeight="1" x14ac:dyDescent="0.35">
      <c r="AH481" s="3"/>
      <c r="AJ481" s="3"/>
      <c r="AK481" s="3"/>
      <c r="AL481" s="3"/>
    </row>
    <row r="482" spans="34:38" ht="14.25" customHeight="1" x14ac:dyDescent="0.35">
      <c r="AH482" s="3"/>
      <c r="AJ482" s="3"/>
      <c r="AK482" s="3"/>
      <c r="AL482" s="3"/>
    </row>
    <row r="483" spans="34:38" ht="14.25" customHeight="1" x14ac:dyDescent="0.35">
      <c r="AH483" s="3"/>
      <c r="AJ483" s="3"/>
      <c r="AK483" s="3"/>
      <c r="AL483" s="3"/>
    </row>
    <row r="484" spans="34:38" ht="14.25" customHeight="1" x14ac:dyDescent="0.35">
      <c r="AH484" s="3"/>
      <c r="AJ484" s="3"/>
      <c r="AK484" s="3"/>
      <c r="AL484" s="3"/>
    </row>
    <row r="485" spans="34:38" ht="14.25" customHeight="1" x14ac:dyDescent="0.35">
      <c r="AH485" s="3"/>
      <c r="AJ485" s="3"/>
      <c r="AK485" s="3"/>
      <c r="AL485" s="3"/>
    </row>
    <row r="486" spans="34:38" ht="14.25" customHeight="1" x14ac:dyDescent="0.35">
      <c r="AH486" s="3"/>
      <c r="AJ486" s="3"/>
      <c r="AK486" s="3"/>
      <c r="AL486" s="3"/>
    </row>
    <row r="487" spans="34:38" ht="14.25" customHeight="1" x14ac:dyDescent="0.35">
      <c r="AH487" s="3"/>
      <c r="AJ487" s="3"/>
      <c r="AK487" s="3"/>
      <c r="AL487" s="3"/>
    </row>
    <row r="488" spans="34:38" ht="14.25" customHeight="1" x14ac:dyDescent="0.35">
      <c r="AH488" s="3"/>
      <c r="AJ488" s="3"/>
      <c r="AK488" s="3"/>
      <c r="AL488" s="3"/>
    </row>
    <row r="489" spans="34:38" ht="14.25" customHeight="1" x14ac:dyDescent="0.35">
      <c r="AH489" s="3"/>
      <c r="AJ489" s="3"/>
      <c r="AK489" s="3"/>
      <c r="AL489" s="3"/>
    </row>
    <row r="490" spans="34:38" ht="14.25" customHeight="1" x14ac:dyDescent="0.35">
      <c r="AH490" s="3"/>
      <c r="AJ490" s="3"/>
      <c r="AK490" s="3"/>
      <c r="AL490" s="3"/>
    </row>
    <row r="491" spans="34:38" ht="14.25" customHeight="1" x14ac:dyDescent="0.35">
      <c r="AH491" s="3"/>
      <c r="AJ491" s="3"/>
      <c r="AK491" s="3"/>
      <c r="AL491" s="3"/>
    </row>
    <row r="492" spans="34:38" ht="14.25" customHeight="1" x14ac:dyDescent="0.35">
      <c r="AH492" s="3"/>
      <c r="AJ492" s="3"/>
      <c r="AK492" s="3"/>
      <c r="AL492" s="3"/>
    </row>
    <row r="493" spans="34:38" ht="14.25" customHeight="1" x14ac:dyDescent="0.35">
      <c r="AH493" s="3"/>
      <c r="AJ493" s="3"/>
      <c r="AK493" s="3"/>
      <c r="AL493" s="3"/>
    </row>
    <row r="494" spans="34:38" ht="14.25" customHeight="1" x14ac:dyDescent="0.35">
      <c r="AH494" s="3"/>
      <c r="AJ494" s="3"/>
      <c r="AK494" s="3"/>
      <c r="AL494" s="3"/>
    </row>
    <row r="495" spans="34:38" ht="14.25" customHeight="1" x14ac:dyDescent="0.35">
      <c r="AH495" s="3"/>
      <c r="AJ495" s="3"/>
      <c r="AK495" s="3"/>
      <c r="AL495" s="3"/>
    </row>
    <row r="496" spans="34:38" ht="14.25" customHeight="1" x14ac:dyDescent="0.35">
      <c r="AH496" s="3"/>
      <c r="AJ496" s="3"/>
      <c r="AK496" s="3"/>
      <c r="AL496" s="3"/>
    </row>
    <row r="497" spans="34:38" ht="14.25" customHeight="1" x14ac:dyDescent="0.35">
      <c r="AH497" s="3"/>
      <c r="AJ497" s="3"/>
      <c r="AK497" s="3"/>
      <c r="AL497" s="3"/>
    </row>
    <row r="498" spans="34:38" ht="14.25" customHeight="1" x14ac:dyDescent="0.35">
      <c r="AH498" s="3"/>
      <c r="AJ498" s="3"/>
      <c r="AK498" s="3"/>
      <c r="AL498" s="3"/>
    </row>
    <row r="499" spans="34:38" ht="14.25" customHeight="1" x14ac:dyDescent="0.35">
      <c r="AH499" s="3"/>
      <c r="AJ499" s="3"/>
      <c r="AK499" s="3"/>
      <c r="AL499" s="3"/>
    </row>
    <row r="500" spans="34:38" ht="14.25" customHeight="1" x14ac:dyDescent="0.35">
      <c r="AH500" s="3"/>
      <c r="AJ500" s="3"/>
      <c r="AK500" s="3"/>
      <c r="AL500" s="3"/>
    </row>
    <row r="501" spans="34:38" ht="14.25" customHeight="1" x14ac:dyDescent="0.35">
      <c r="AH501" s="3"/>
      <c r="AJ501" s="3"/>
      <c r="AK501" s="3"/>
      <c r="AL501" s="3"/>
    </row>
    <row r="502" spans="34:38" ht="14.25" customHeight="1" x14ac:dyDescent="0.35">
      <c r="AH502" s="3"/>
      <c r="AJ502" s="3"/>
      <c r="AK502" s="3"/>
      <c r="AL502" s="3"/>
    </row>
    <row r="503" spans="34:38" ht="14.25" customHeight="1" x14ac:dyDescent="0.35">
      <c r="AH503" s="3"/>
      <c r="AJ503" s="3"/>
      <c r="AK503" s="3"/>
      <c r="AL503" s="3"/>
    </row>
    <row r="504" spans="34:38" ht="14.25" customHeight="1" x14ac:dyDescent="0.35">
      <c r="AH504" s="3"/>
      <c r="AJ504" s="3"/>
      <c r="AK504" s="3"/>
      <c r="AL504" s="3"/>
    </row>
    <row r="505" spans="34:38" ht="14.25" customHeight="1" x14ac:dyDescent="0.35">
      <c r="AH505" s="3"/>
      <c r="AJ505" s="3"/>
      <c r="AK505" s="3"/>
      <c r="AL505" s="3"/>
    </row>
    <row r="506" spans="34:38" ht="14.25" customHeight="1" x14ac:dyDescent="0.35">
      <c r="AH506" s="3"/>
      <c r="AJ506" s="3"/>
      <c r="AK506" s="3"/>
      <c r="AL506" s="3"/>
    </row>
    <row r="507" spans="34:38" ht="14.25" customHeight="1" x14ac:dyDescent="0.35">
      <c r="AH507" s="3"/>
      <c r="AJ507" s="3"/>
      <c r="AK507" s="3"/>
      <c r="AL507" s="3"/>
    </row>
    <row r="508" spans="34:38" ht="14.25" customHeight="1" x14ac:dyDescent="0.35">
      <c r="AH508" s="3"/>
      <c r="AJ508" s="3"/>
      <c r="AK508" s="3"/>
      <c r="AL508" s="3"/>
    </row>
    <row r="509" spans="34:38" ht="14.25" customHeight="1" x14ac:dyDescent="0.35">
      <c r="AH509" s="3"/>
      <c r="AJ509" s="3"/>
      <c r="AK509" s="3"/>
      <c r="AL509" s="3"/>
    </row>
    <row r="510" spans="34:38" ht="14.25" customHeight="1" x14ac:dyDescent="0.35">
      <c r="AH510" s="3"/>
      <c r="AJ510" s="3"/>
      <c r="AK510" s="3"/>
      <c r="AL510" s="3"/>
    </row>
    <row r="511" spans="34:38" ht="14.25" customHeight="1" x14ac:dyDescent="0.35">
      <c r="AH511" s="3"/>
      <c r="AJ511" s="3"/>
      <c r="AK511" s="3"/>
      <c r="AL511" s="3"/>
    </row>
    <row r="512" spans="34:38" ht="14.25" customHeight="1" x14ac:dyDescent="0.35">
      <c r="AH512" s="3"/>
      <c r="AJ512" s="3"/>
      <c r="AK512" s="3"/>
      <c r="AL512" s="3"/>
    </row>
    <row r="513" spans="34:38" ht="14.25" customHeight="1" x14ac:dyDescent="0.35">
      <c r="AH513" s="3"/>
      <c r="AJ513" s="3"/>
      <c r="AK513" s="3"/>
      <c r="AL513" s="3"/>
    </row>
    <row r="514" spans="34:38" ht="14.25" customHeight="1" x14ac:dyDescent="0.35">
      <c r="AH514" s="3"/>
      <c r="AJ514" s="3"/>
      <c r="AK514" s="3"/>
      <c r="AL514" s="3"/>
    </row>
    <row r="515" spans="34:38" ht="14.25" customHeight="1" x14ac:dyDescent="0.35">
      <c r="AH515" s="3"/>
      <c r="AJ515" s="3"/>
      <c r="AK515" s="3"/>
      <c r="AL515" s="3"/>
    </row>
    <row r="516" spans="34:38" ht="14.25" customHeight="1" x14ac:dyDescent="0.35">
      <c r="AH516" s="3"/>
      <c r="AJ516" s="3"/>
      <c r="AK516" s="3"/>
      <c r="AL516" s="3"/>
    </row>
    <row r="517" spans="34:38" ht="14.25" customHeight="1" x14ac:dyDescent="0.35">
      <c r="AH517" s="3"/>
      <c r="AJ517" s="3"/>
      <c r="AK517" s="3"/>
      <c r="AL517" s="3"/>
    </row>
    <row r="518" spans="34:38" ht="14.25" customHeight="1" x14ac:dyDescent="0.35">
      <c r="AH518" s="3"/>
      <c r="AJ518" s="3"/>
      <c r="AK518" s="3"/>
      <c r="AL518" s="3"/>
    </row>
    <row r="519" spans="34:38" ht="14.25" customHeight="1" x14ac:dyDescent="0.35">
      <c r="AH519" s="3"/>
      <c r="AJ519" s="3"/>
      <c r="AK519" s="3"/>
      <c r="AL519" s="3"/>
    </row>
    <row r="520" spans="34:38" ht="14.25" customHeight="1" x14ac:dyDescent="0.35">
      <c r="AH520" s="3"/>
      <c r="AJ520" s="3"/>
      <c r="AK520" s="3"/>
      <c r="AL520" s="3"/>
    </row>
    <row r="521" spans="34:38" ht="14.25" customHeight="1" x14ac:dyDescent="0.35">
      <c r="AH521" s="3"/>
      <c r="AJ521" s="3"/>
      <c r="AK521" s="3"/>
      <c r="AL521" s="3"/>
    </row>
    <row r="522" spans="34:38" ht="14.25" customHeight="1" x14ac:dyDescent="0.35">
      <c r="AH522" s="3"/>
      <c r="AJ522" s="3"/>
      <c r="AK522" s="3"/>
      <c r="AL522" s="3"/>
    </row>
    <row r="523" spans="34:38" ht="14.25" customHeight="1" x14ac:dyDescent="0.35">
      <c r="AH523" s="3"/>
      <c r="AJ523" s="3"/>
      <c r="AK523" s="3"/>
      <c r="AL523" s="3"/>
    </row>
    <row r="524" spans="34:38" ht="14.25" customHeight="1" x14ac:dyDescent="0.35">
      <c r="AH524" s="3"/>
      <c r="AJ524" s="3"/>
      <c r="AK524" s="3"/>
      <c r="AL524" s="3"/>
    </row>
    <row r="525" spans="34:38" ht="14.25" customHeight="1" x14ac:dyDescent="0.35">
      <c r="AH525" s="3"/>
      <c r="AJ525" s="3"/>
      <c r="AK525" s="3"/>
      <c r="AL525" s="3"/>
    </row>
    <row r="526" spans="34:38" ht="14.25" customHeight="1" x14ac:dyDescent="0.35">
      <c r="AH526" s="3"/>
      <c r="AJ526" s="3"/>
      <c r="AK526" s="3"/>
      <c r="AL526" s="3"/>
    </row>
    <row r="527" spans="34:38" ht="14.25" customHeight="1" x14ac:dyDescent="0.35">
      <c r="AH527" s="3"/>
      <c r="AJ527" s="3"/>
      <c r="AK527" s="3"/>
      <c r="AL527" s="3"/>
    </row>
    <row r="528" spans="34:38" ht="14.25" customHeight="1" x14ac:dyDescent="0.35">
      <c r="AH528" s="3"/>
      <c r="AJ528" s="3"/>
      <c r="AK528" s="3"/>
      <c r="AL528" s="3"/>
    </row>
    <row r="529" spans="34:38" ht="14.25" customHeight="1" x14ac:dyDescent="0.35">
      <c r="AH529" s="3"/>
      <c r="AJ529" s="3"/>
      <c r="AK529" s="3"/>
      <c r="AL529" s="3"/>
    </row>
    <row r="530" spans="34:38" ht="14.25" customHeight="1" x14ac:dyDescent="0.35">
      <c r="AH530" s="3"/>
      <c r="AJ530" s="3"/>
      <c r="AK530" s="3"/>
      <c r="AL530" s="3"/>
    </row>
    <row r="531" spans="34:38" ht="14.25" customHeight="1" x14ac:dyDescent="0.35">
      <c r="AH531" s="3"/>
      <c r="AJ531" s="3"/>
      <c r="AK531" s="3"/>
      <c r="AL531" s="3"/>
    </row>
    <row r="532" spans="34:38" ht="14.25" customHeight="1" x14ac:dyDescent="0.35">
      <c r="AH532" s="3"/>
      <c r="AJ532" s="3"/>
      <c r="AK532" s="3"/>
      <c r="AL532" s="3"/>
    </row>
    <row r="533" spans="34:38" ht="14.25" customHeight="1" x14ac:dyDescent="0.35">
      <c r="AH533" s="3"/>
      <c r="AJ533" s="3"/>
      <c r="AK533" s="3"/>
      <c r="AL533" s="3"/>
    </row>
    <row r="534" spans="34:38" ht="14.25" customHeight="1" x14ac:dyDescent="0.35">
      <c r="AH534" s="3"/>
      <c r="AJ534" s="3"/>
      <c r="AK534" s="3"/>
      <c r="AL534" s="3"/>
    </row>
    <row r="535" spans="34:38" ht="14.25" customHeight="1" x14ac:dyDescent="0.35">
      <c r="AH535" s="3"/>
      <c r="AJ535" s="3"/>
      <c r="AK535" s="3"/>
      <c r="AL535" s="3"/>
    </row>
    <row r="536" spans="34:38" ht="14.25" customHeight="1" x14ac:dyDescent="0.35">
      <c r="AH536" s="3"/>
      <c r="AJ536" s="3"/>
      <c r="AK536" s="3"/>
      <c r="AL536" s="3"/>
    </row>
    <row r="537" spans="34:38" ht="14.25" customHeight="1" x14ac:dyDescent="0.35">
      <c r="AH537" s="3"/>
      <c r="AJ537" s="3"/>
      <c r="AK537" s="3"/>
      <c r="AL537" s="3"/>
    </row>
    <row r="538" spans="34:38" ht="14.25" customHeight="1" x14ac:dyDescent="0.35">
      <c r="AH538" s="3"/>
      <c r="AJ538" s="3"/>
      <c r="AK538" s="3"/>
      <c r="AL538" s="3"/>
    </row>
    <row r="539" spans="34:38" ht="14.25" customHeight="1" x14ac:dyDescent="0.35">
      <c r="AH539" s="3"/>
      <c r="AJ539" s="3"/>
      <c r="AK539" s="3"/>
      <c r="AL539" s="3"/>
    </row>
    <row r="540" spans="34:38" ht="14.25" customHeight="1" x14ac:dyDescent="0.35">
      <c r="AH540" s="3"/>
      <c r="AJ540" s="3"/>
      <c r="AK540" s="3"/>
      <c r="AL540" s="3"/>
    </row>
    <row r="541" spans="34:38" ht="14.25" customHeight="1" x14ac:dyDescent="0.35">
      <c r="AH541" s="3"/>
      <c r="AJ541" s="3"/>
      <c r="AK541" s="3"/>
      <c r="AL541" s="3"/>
    </row>
    <row r="542" spans="34:38" ht="14.25" customHeight="1" x14ac:dyDescent="0.35">
      <c r="AH542" s="3"/>
      <c r="AJ542" s="3"/>
      <c r="AK542" s="3"/>
      <c r="AL542" s="3"/>
    </row>
    <row r="543" spans="34:38" ht="14.25" customHeight="1" x14ac:dyDescent="0.35">
      <c r="AH543" s="3"/>
      <c r="AJ543" s="3"/>
      <c r="AK543" s="3"/>
      <c r="AL543" s="3"/>
    </row>
    <row r="544" spans="34:38" ht="14.25" customHeight="1" x14ac:dyDescent="0.35">
      <c r="AH544" s="3"/>
      <c r="AJ544" s="3"/>
      <c r="AK544" s="3"/>
      <c r="AL544" s="3"/>
    </row>
    <row r="545" spans="34:38" ht="14.25" customHeight="1" x14ac:dyDescent="0.35">
      <c r="AH545" s="3"/>
      <c r="AJ545" s="3"/>
      <c r="AK545" s="3"/>
      <c r="AL545" s="3"/>
    </row>
    <row r="546" spans="34:38" ht="14.25" customHeight="1" x14ac:dyDescent="0.35">
      <c r="AH546" s="3"/>
      <c r="AJ546" s="3"/>
      <c r="AK546" s="3"/>
      <c r="AL546" s="3"/>
    </row>
    <row r="547" spans="34:38" ht="14.25" customHeight="1" x14ac:dyDescent="0.35">
      <c r="AH547" s="3"/>
      <c r="AJ547" s="3"/>
      <c r="AK547" s="3"/>
      <c r="AL547" s="3"/>
    </row>
    <row r="548" spans="34:38" ht="14.25" customHeight="1" x14ac:dyDescent="0.35">
      <c r="AH548" s="3"/>
      <c r="AJ548" s="3"/>
      <c r="AK548" s="3"/>
      <c r="AL548" s="3"/>
    </row>
    <row r="549" spans="34:38" ht="14.25" customHeight="1" x14ac:dyDescent="0.35">
      <c r="AH549" s="3"/>
      <c r="AJ549" s="3"/>
      <c r="AK549" s="3"/>
      <c r="AL549" s="3"/>
    </row>
    <row r="550" spans="34:38" ht="14.25" customHeight="1" x14ac:dyDescent="0.35">
      <c r="AH550" s="3"/>
      <c r="AJ550" s="3"/>
      <c r="AK550" s="3"/>
      <c r="AL550" s="3"/>
    </row>
    <row r="551" spans="34:38" ht="14.25" customHeight="1" x14ac:dyDescent="0.35">
      <c r="AH551" s="3"/>
      <c r="AJ551" s="3"/>
      <c r="AK551" s="3"/>
      <c r="AL551" s="3"/>
    </row>
    <row r="552" spans="34:38" ht="14.25" customHeight="1" x14ac:dyDescent="0.35">
      <c r="AH552" s="3"/>
      <c r="AJ552" s="3"/>
      <c r="AK552" s="3"/>
      <c r="AL552" s="3"/>
    </row>
    <row r="553" spans="34:38" ht="14.25" customHeight="1" x14ac:dyDescent="0.35">
      <c r="AH553" s="3"/>
      <c r="AJ553" s="3"/>
      <c r="AK553" s="3"/>
      <c r="AL553" s="3"/>
    </row>
    <row r="554" spans="34:38" ht="14.25" customHeight="1" x14ac:dyDescent="0.35">
      <c r="AH554" s="3"/>
      <c r="AJ554" s="3"/>
      <c r="AK554" s="3"/>
      <c r="AL554" s="3"/>
    </row>
    <row r="555" spans="34:38" ht="14.25" customHeight="1" x14ac:dyDescent="0.35">
      <c r="AH555" s="3"/>
      <c r="AJ555" s="3"/>
      <c r="AK555" s="3"/>
      <c r="AL555" s="3"/>
    </row>
    <row r="556" spans="34:38" ht="14.25" customHeight="1" x14ac:dyDescent="0.35">
      <c r="AH556" s="3"/>
      <c r="AJ556" s="3"/>
      <c r="AK556" s="3"/>
      <c r="AL556" s="3"/>
    </row>
    <row r="557" spans="34:38" ht="14.25" customHeight="1" x14ac:dyDescent="0.35">
      <c r="AH557" s="3"/>
      <c r="AJ557" s="3"/>
      <c r="AK557" s="3"/>
      <c r="AL557" s="3"/>
    </row>
    <row r="558" spans="34:38" ht="14.25" customHeight="1" x14ac:dyDescent="0.35">
      <c r="AH558" s="3"/>
      <c r="AJ558" s="3"/>
      <c r="AK558" s="3"/>
      <c r="AL558" s="3"/>
    </row>
    <row r="559" spans="34:38" ht="14.25" customHeight="1" x14ac:dyDescent="0.35">
      <c r="AH559" s="3"/>
      <c r="AJ559" s="3"/>
      <c r="AK559" s="3"/>
      <c r="AL559" s="3"/>
    </row>
    <row r="560" spans="34:38" ht="14.25" customHeight="1" x14ac:dyDescent="0.35">
      <c r="AH560" s="3"/>
      <c r="AJ560" s="3"/>
      <c r="AK560" s="3"/>
      <c r="AL560" s="3"/>
    </row>
    <row r="561" spans="34:38" ht="14.25" customHeight="1" x14ac:dyDescent="0.35">
      <c r="AH561" s="3"/>
      <c r="AJ561" s="3"/>
      <c r="AK561" s="3"/>
      <c r="AL561" s="3"/>
    </row>
    <row r="562" spans="34:38" ht="14.25" customHeight="1" x14ac:dyDescent="0.35">
      <c r="AH562" s="3"/>
      <c r="AJ562" s="3"/>
      <c r="AK562" s="3"/>
      <c r="AL562" s="3"/>
    </row>
    <row r="563" spans="34:38" ht="14.25" customHeight="1" x14ac:dyDescent="0.35">
      <c r="AH563" s="3"/>
      <c r="AJ563" s="3"/>
      <c r="AK563" s="3"/>
      <c r="AL563" s="3"/>
    </row>
    <row r="564" spans="34:38" ht="14.25" customHeight="1" x14ac:dyDescent="0.35">
      <c r="AH564" s="3"/>
      <c r="AJ564" s="3"/>
      <c r="AK564" s="3"/>
      <c r="AL564" s="3"/>
    </row>
    <row r="565" spans="34:38" ht="14.25" customHeight="1" x14ac:dyDescent="0.35">
      <c r="AH565" s="3"/>
      <c r="AJ565" s="3"/>
      <c r="AK565" s="3"/>
      <c r="AL565" s="3"/>
    </row>
    <row r="566" spans="34:38" ht="14.25" customHeight="1" x14ac:dyDescent="0.35">
      <c r="AH566" s="3"/>
      <c r="AJ566" s="3"/>
      <c r="AK566" s="3"/>
      <c r="AL566" s="3"/>
    </row>
    <row r="567" spans="34:38" ht="14.25" customHeight="1" x14ac:dyDescent="0.35">
      <c r="AH567" s="3"/>
      <c r="AJ567" s="3"/>
      <c r="AK567" s="3"/>
      <c r="AL567" s="3"/>
    </row>
    <row r="568" spans="34:38" ht="14.25" customHeight="1" x14ac:dyDescent="0.35">
      <c r="AH568" s="3"/>
      <c r="AJ568" s="3"/>
      <c r="AK568" s="3"/>
      <c r="AL568" s="3"/>
    </row>
    <row r="569" spans="34:38" ht="14.25" customHeight="1" x14ac:dyDescent="0.35">
      <c r="AH569" s="3"/>
      <c r="AJ569" s="3"/>
      <c r="AK569" s="3"/>
      <c r="AL569" s="3"/>
    </row>
    <row r="570" spans="34:38" ht="14.25" customHeight="1" x14ac:dyDescent="0.35">
      <c r="AH570" s="3"/>
      <c r="AJ570" s="3"/>
      <c r="AK570" s="3"/>
      <c r="AL570" s="3"/>
    </row>
    <row r="571" spans="34:38" ht="14.25" customHeight="1" x14ac:dyDescent="0.35">
      <c r="AH571" s="3"/>
      <c r="AJ571" s="3"/>
      <c r="AK571" s="3"/>
      <c r="AL571" s="3"/>
    </row>
    <row r="572" spans="34:38" ht="14.25" customHeight="1" x14ac:dyDescent="0.35">
      <c r="AH572" s="3"/>
      <c r="AJ572" s="3"/>
      <c r="AK572" s="3"/>
      <c r="AL572" s="3"/>
    </row>
    <row r="573" spans="34:38" ht="14.25" customHeight="1" x14ac:dyDescent="0.35">
      <c r="AH573" s="3"/>
      <c r="AJ573" s="3"/>
      <c r="AK573" s="3"/>
      <c r="AL573" s="3"/>
    </row>
    <row r="574" spans="34:38" ht="14.25" customHeight="1" x14ac:dyDescent="0.35">
      <c r="AH574" s="3"/>
      <c r="AJ574" s="3"/>
      <c r="AK574" s="3"/>
      <c r="AL574" s="3"/>
    </row>
    <row r="575" spans="34:38" ht="14.25" customHeight="1" x14ac:dyDescent="0.35">
      <c r="AH575" s="3"/>
      <c r="AJ575" s="3"/>
      <c r="AK575" s="3"/>
      <c r="AL575" s="3"/>
    </row>
    <row r="576" spans="34:38" ht="14.25" customHeight="1" x14ac:dyDescent="0.35">
      <c r="AH576" s="3"/>
      <c r="AJ576" s="3"/>
      <c r="AK576" s="3"/>
      <c r="AL576" s="3"/>
    </row>
    <row r="577" spans="34:38" ht="14.25" customHeight="1" x14ac:dyDescent="0.35">
      <c r="AH577" s="3"/>
      <c r="AJ577" s="3"/>
      <c r="AK577" s="3"/>
      <c r="AL577" s="3"/>
    </row>
    <row r="578" spans="34:38" ht="14.25" customHeight="1" x14ac:dyDescent="0.35">
      <c r="AH578" s="3"/>
      <c r="AJ578" s="3"/>
      <c r="AK578" s="3"/>
      <c r="AL578" s="3"/>
    </row>
    <row r="579" spans="34:38" ht="14.25" customHeight="1" x14ac:dyDescent="0.35">
      <c r="AH579" s="3"/>
      <c r="AJ579" s="3"/>
      <c r="AK579" s="3"/>
      <c r="AL579" s="3"/>
    </row>
    <row r="580" spans="34:38" ht="14.25" customHeight="1" x14ac:dyDescent="0.35">
      <c r="AH580" s="3"/>
      <c r="AJ580" s="3"/>
      <c r="AK580" s="3"/>
      <c r="AL580" s="3"/>
    </row>
    <row r="581" spans="34:38" ht="14.25" customHeight="1" x14ac:dyDescent="0.35">
      <c r="AH581" s="3"/>
      <c r="AJ581" s="3"/>
      <c r="AK581" s="3"/>
      <c r="AL581" s="3"/>
    </row>
    <row r="582" spans="34:38" ht="14.25" customHeight="1" x14ac:dyDescent="0.35">
      <c r="AH582" s="3"/>
      <c r="AJ582" s="3"/>
      <c r="AK582" s="3"/>
      <c r="AL582" s="3"/>
    </row>
    <row r="583" spans="34:38" ht="14.25" customHeight="1" x14ac:dyDescent="0.35">
      <c r="AH583" s="3"/>
      <c r="AJ583" s="3"/>
      <c r="AK583" s="3"/>
      <c r="AL583" s="3"/>
    </row>
    <row r="584" spans="34:38" ht="14.25" customHeight="1" x14ac:dyDescent="0.35">
      <c r="AH584" s="3"/>
      <c r="AJ584" s="3"/>
      <c r="AK584" s="3"/>
      <c r="AL584" s="3"/>
    </row>
    <row r="585" spans="34:38" ht="14.25" customHeight="1" x14ac:dyDescent="0.35">
      <c r="AH585" s="3"/>
      <c r="AJ585" s="3"/>
      <c r="AK585" s="3"/>
      <c r="AL585" s="3"/>
    </row>
    <row r="586" spans="34:38" ht="14.25" customHeight="1" x14ac:dyDescent="0.35">
      <c r="AH586" s="3"/>
      <c r="AJ586" s="3"/>
      <c r="AK586" s="3"/>
      <c r="AL586" s="3"/>
    </row>
    <row r="587" spans="34:38" ht="14.25" customHeight="1" x14ac:dyDescent="0.35">
      <c r="AH587" s="3"/>
      <c r="AJ587" s="3"/>
      <c r="AK587" s="3"/>
      <c r="AL587" s="3"/>
    </row>
    <row r="588" spans="34:38" ht="14.25" customHeight="1" x14ac:dyDescent="0.35">
      <c r="AH588" s="3"/>
      <c r="AJ588" s="3"/>
      <c r="AK588" s="3"/>
      <c r="AL588" s="3"/>
    </row>
    <row r="589" spans="34:38" ht="14.25" customHeight="1" x14ac:dyDescent="0.35">
      <c r="AH589" s="3"/>
      <c r="AJ589" s="3"/>
      <c r="AK589" s="3"/>
      <c r="AL589" s="3"/>
    </row>
    <row r="590" spans="34:38" ht="14.25" customHeight="1" x14ac:dyDescent="0.35">
      <c r="AH590" s="3"/>
      <c r="AJ590" s="3"/>
      <c r="AK590" s="3"/>
      <c r="AL590" s="3"/>
    </row>
    <row r="591" spans="34:38" ht="14.25" customHeight="1" x14ac:dyDescent="0.35">
      <c r="AH591" s="3"/>
      <c r="AJ591" s="3"/>
      <c r="AK591" s="3"/>
      <c r="AL591" s="3"/>
    </row>
    <row r="592" spans="34:38" ht="14.25" customHeight="1" x14ac:dyDescent="0.35">
      <c r="AH592" s="3"/>
      <c r="AJ592" s="3"/>
      <c r="AK592" s="3"/>
      <c r="AL592" s="3"/>
    </row>
    <row r="593" spans="34:38" ht="14.25" customHeight="1" x14ac:dyDescent="0.35">
      <c r="AH593" s="3"/>
      <c r="AJ593" s="3"/>
      <c r="AK593" s="3"/>
      <c r="AL593" s="3"/>
    </row>
    <row r="594" spans="34:38" ht="14.25" customHeight="1" x14ac:dyDescent="0.35">
      <c r="AH594" s="3"/>
      <c r="AJ594" s="3"/>
      <c r="AK594" s="3"/>
      <c r="AL594" s="3"/>
    </row>
    <row r="595" spans="34:38" ht="14.25" customHeight="1" x14ac:dyDescent="0.35">
      <c r="AH595" s="3"/>
      <c r="AJ595" s="3"/>
      <c r="AK595" s="3"/>
      <c r="AL595" s="3"/>
    </row>
    <row r="596" spans="34:38" ht="14.25" customHeight="1" x14ac:dyDescent="0.35">
      <c r="AH596" s="3"/>
      <c r="AJ596" s="3"/>
      <c r="AK596" s="3"/>
      <c r="AL596" s="3"/>
    </row>
    <row r="597" spans="34:38" ht="14.25" customHeight="1" x14ac:dyDescent="0.35">
      <c r="AH597" s="3"/>
      <c r="AJ597" s="3"/>
      <c r="AK597" s="3"/>
      <c r="AL597" s="3"/>
    </row>
    <row r="598" spans="34:38" ht="14.25" customHeight="1" x14ac:dyDescent="0.35">
      <c r="AH598" s="3"/>
      <c r="AJ598" s="3"/>
      <c r="AK598" s="3"/>
      <c r="AL598" s="3"/>
    </row>
    <row r="599" spans="34:38" ht="14.25" customHeight="1" x14ac:dyDescent="0.35">
      <c r="AH599" s="3"/>
      <c r="AJ599" s="3"/>
      <c r="AK599" s="3"/>
      <c r="AL599" s="3"/>
    </row>
    <row r="600" spans="34:38" ht="14.25" customHeight="1" x14ac:dyDescent="0.35">
      <c r="AH600" s="3"/>
      <c r="AJ600" s="3"/>
      <c r="AK600" s="3"/>
      <c r="AL600" s="3"/>
    </row>
    <row r="601" spans="34:38" ht="14.25" customHeight="1" x14ac:dyDescent="0.35">
      <c r="AH601" s="3"/>
      <c r="AJ601" s="3"/>
      <c r="AK601" s="3"/>
      <c r="AL601" s="3"/>
    </row>
    <row r="602" spans="34:38" ht="14.25" customHeight="1" x14ac:dyDescent="0.35">
      <c r="AH602" s="3"/>
      <c r="AJ602" s="3"/>
      <c r="AK602" s="3"/>
      <c r="AL602" s="3"/>
    </row>
    <row r="603" spans="34:38" ht="14.25" customHeight="1" x14ac:dyDescent="0.35">
      <c r="AH603" s="3"/>
      <c r="AJ603" s="3"/>
      <c r="AK603" s="3"/>
      <c r="AL603" s="3"/>
    </row>
    <row r="604" spans="34:38" ht="14.25" customHeight="1" x14ac:dyDescent="0.35">
      <c r="AH604" s="3"/>
      <c r="AJ604" s="3"/>
      <c r="AK604" s="3"/>
      <c r="AL604" s="3"/>
    </row>
    <row r="605" spans="34:38" ht="14.25" customHeight="1" x14ac:dyDescent="0.35">
      <c r="AH605" s="3"/>
      <c r="AJ605" s="3"/>
      <c r="AK605" s="3"/>
      <c r="AL605" s="3"/>
    </row>
    <row r="606" spans="34:38" ht="14.25" customHeight="1" x14ac:dyDescent="0.35">
      <c r="AH606" s="3"/>
      <c r="AJ606" s="3"/>
      <c r="AK606" s="3"/>
      <c r="AL606" s="3"/>
    </row>
    <row r="607" spans="34:38" ht="14.25" customHeight="1" x14ac:dyDescent="0.35">
      <c r="AH607" s="3"/>
      <c r="AJ607" s="3"/>
      <c r="AK607" s="3"/>
      <c r="AL607" s="3"/>
    </row>
    <row r="608" spans="34:38" ht="14.25" customHeight="1" x14ac:dyDescent="0.35">
      <c r="AH608" s="3"/>
      <c r="AJ608" s="3"/>
      <c r="AK608" s="3"/>
      <c r="AL608" s="3"/>
    </row>
    <row r="609" spans="34:38" ht="14.25" customHeight="1" x14ac:dyDescent="0.35">
      <c r="AH609" s="3"/>
      <c r="AJ609" s="3"/>
      <c r="AK609" s="3"/>
      <c r="AL609" s="3"/>
    </row>
    <row r="610" spans="34:38" ht="14.25" customHeight="1" x14ac:dyDescent="0.35">
      <c r="AH610" s="3"/>
      <c r="AJ610" s="3"/>
      <c r="AK610" s="3"/>
      <c r="AL610" s="3"/>
    </row>
    <row r="611" spans="34:38" ht="14.25" customHeight="1" x14ac:dyDescent="0.35">
      <c r="AH611" s="3"/>
      <c r="AJ611" s="3"/>
      <c r="AK611" s="3"/>
      <c r="AL611" s="3"/>
    </row>
    <row r="612" spans="34:38" ht="14.25" customHeight="1" x14ac:dyDescent="0.35">
      <c r="AH612" s="3"/>
      <c r="AJ612" s="3"/>
      <c r="AK612" s="3"/>
      <c r="AL612" s="3"/>
    </row>
    <row r="613" spans="34:38" ht="14.25" customHeight="1" x14ac:dyDescent="0.35">
      <c r="AH613" s="3"/>
      <c r="AJ613" s="3"/>
      <c r="AK613" s="3"/>
      <c r="AL613" s="3"/>
    </row>
    <row r="614" spans="34:38" ht="14.25" customHeight="1" x14ac:dyDescent="0.35">
      <c r="AH614" s="3"/>
      <c r="AJ614" s="3"/>
      <c r="AK614" s="3"/>
      <c r="AL614" s="3"/>
    </row>
    <row r="615" spans="34:38" ht="14.25" customHeight="1" x14ac:dyDescent="0.35">
      <c r="AH615" s="3"/>
      <c r="AJ615" s="3"/>
      <c r="AK615" s="3"/>
      <c r="AL615" s="3"/>
    </row>
    <row r="616" spans="34:38" ht="14.25" customHeight="1" x14ac:dyDescent="0.35">
      <c r="AH616" s="3"/>
      <c r="AJ616" s="3"/>
      <c r="AK616" s="3"/>
      <c r="AL616" s="3"/>
    </row>
    <row r="617" spans="34:38" ht="14.25" customHeight="1" x14ac:dyDescent="0.35">
      <c r="AH617" s="3"/>
      <c r="AJ617" s="3"/>
      <c r="AK617" s="3"/>
      <c r="AL617" s="3"/>
    </row>
    <row r="618" spans="34:38" ht="14.25" customHeight="1" x14ac:dyDescent="0.35">
      <c r="AH618" s="3"/>
      <c r="AJ618" s="3"/>
      <c r="AK618" s="3"/>
      <c r="AL618" s="3"/>
    </row>
    <row r="619" spans="34:38" ht="14.25" customHeight="1" x14ac:dyDescent="0.35">
      <c r="AH619" s="3"/>
      <c r="AJ619" s="3"/>
      <c r="AK619" s="3"/>
      <c r="AL619" s="3"/>
    </row>
    <row r="620" spans="34:38" ht="14.25" customHeight="1" x14ac:dyDescent="0.35">
      <c r="AH620" s="3"/>
      <c r="AJ620" s="3"/>
      <c r="AK620" s="3"/>
      <c r="AL620" s="3"/>
    </row>
    <row r="621" spans="34:38" ht="14.25" customHeight="1" x14ac:dyDescent="0.35">
      <c r="AH621" s="3"/>
      <c r="AJ621" s="3"/>
      <c r="AK621" s="3"/>
      <c r="AL621" s="3"/>
    </row>
    <row r="622" spans="34:38" ht="14.25" customHeight="1" x14ac:dyDescent="0.35">
      <c r="AH622" s="3"/>
      <c r="AJ622" s="3"/>
      <c r="AK622" s="3"/>
      <c r="AL622" s="3"/>
    </row>
    <row r="623" spans="34:38" ht="14.25" customHeight="1" x14ac:dyDescent="0.35">
      <c r="AH623" s="3"/>
      <c r="AJ623" s="3"/>
      <c r="AK623" s="3"/>
      <c r="AL623" s="3"/>
    </row>
    <row r="624" spans="34:38" ht="14.25" customHeight="1" x14ac:dyDescent="0.35">
      <c r="AH624" s="3"/>
      <c r="AJ624" s="3"/>
      <c r="AK624" s="3"/>
      <c r="AL624" s="3"/>
    </row>
    <row r="625" spans="34:38" ht="14.25" customHeight="1" x14ac:dyDescent="0.35">
      <c r="AH625" s="3"/>
      <c r="AJ625" s="3"/>
      <c r="AK625" s="3"/>
      <c r="AL625" s="3"/>
    </row>
    <row r="626" spans="34:38" ht="14.25" customHeight="1" x14ac:dyDescent="0.35">
      <c r="AH626" s="3"/>
      <c r="AJ626" s="3"/>
      <c r="AK626" s="3"/>
      <c r="AL626" s="3"/>
    </row>
    <row r="627" spans="34:38" ht="14.25" customHeight="1" x14ac:dyDescent="0.35">
      <c r="AH627" s="3"/>
      <c r="AJ627" s="3"/>
      <c r="AK627" s="3"/>
      <c r="AL627" s="3"/>
    </row>
    <row r="628" spans="34:38" ht="14.25" customHeight="1" x14ac:dyDescent="0.35">
      <c r="AH628" s="3"/>
      <c r="AJ628" s="3"/>
      <c r="AK628" s="3"/>
      <c r="AL628" s="3"/>
    </row>
    <row r="629" spans="34:38" ht="14.25" customHeight="1" x14ac:dyDescent="0.35">
      <c r="AH629" s="3"/>
      <c r="AJ629" s="3"/>
      <c r="AK629" s="3"/>
      <c r="AL629" s="3"/>
    </row>
    <row r="630" spans="34:38" ht="14.25" customHeight="1" x14ac:dyDescent="0.35">
      <c r="AH630" s="3"/>
      <c r="AJ630" s="3"/>
      <c r="AK630" s="3"/>
      <c r="AL630" s="3"/>
    </row>
    <row r="631" spans="34:38" ht="14.25" customHeight="1" x14ac:dyDescent="0.35">
      <c r="AH631" s="3"/>
      <c r="AJ631" s="3"/>
      <c r="AK631" s="3"/>
      <c r="AL631" s="3"/>
    </row>
    <row r="632" spans="34:38" ht="14.25" customHeight="1" x14ac:dyDescent="0.35">
      <c r="AH632" s="3"/>
      <c r="AJ632" s="3"/>
      <c r="AK632" s="3"/>
      <c r="AL632" s="3"/>
    </row>
    <row r="633" spans="34:38" ht="14.25" customHeight="1" x14ac:dyDescent="0.35">
      <c r="AH633" s="3"/>
      <c r="AJ633" s="3"/>
      <c r="AK633" s="3"/>
      <c r="AL633" s="3"/>
    </row>
    <row r="634" spans="34:38" ht="14.25" customHeight="1" x14ac:dyDescent="0.35">
      <c r="AH634" s="3"/>
      <c r="AJ634" s="3"/>
      <c r="AK634" s="3"/>
      <c r="AL634" s="3"/>
    </row>
    <row r="635" spans="34:38" ht="14.25" customHeight="1" x14ac:dyDescent="0.35">
      <c r="AH635" s="3"/>
      <c r="AJ635" s="3"/>
      <c r="AK635" s="3"/>
      <c r="AL635" s="3"/>
    </row>
    <row r="636" spans="34:38" ht="14.25" customHeight="1" x14ac:dyDescent="0.35">
      <c r="AH636" s="3"/>
      <c r="AJ636" s="3"/>
      <c r="AK636" s="3"/>
      <c r="AL636" s="3"/>
    </row>
    <row r="637" spans="34:38" ht="14.25" customHeight="1" x14ac:dyDescent="0.35">
      <c r="AH637" s="3"/>
      <c r="AJ637" s="3"/>
      <c r="AK637" s="3"/>
      <c r="AL637" s="3"/>
    </row>
    <row r="638" spans="34:38" ht="14.25" customHeight="1" x14ac:dyDescent="0.35">
      <c r="AH638" s="3"/>
      <c r="AJ638" s="3"/>
      <c r="AK638" s="3"/>
      <c r="AL638" s="3"/>
    </row>
    <row r="639" spans="34:38" ht="14.25" customHeight="1" x14ac:dyDescent="0.35">
      <c r="AH639" s="3"/>
      <c r="AJ639" s="3"/>
      <c r="AK639" s="3"/>
      <c r="AL639" s="3"/>
    </row>
    <row r="640" spans="34:38" ht="14.25" customHeight="1" x14ac:dyDescent="0.35">
      <c r="AH640" s="3"/>
      <c r="AJ640" s="3"/>
      <c r="AK640" s="3"/>
      <c r="AL640" s="3"/>
    </row>
    <row r="641" spans="34:38" ht="14.25" customHeight="1" x14ac:dyDescent="0.35">
      <c r="AH641" s="3"/>
      <c r="AJ641" s="3"/>
      <c r="AK641" s="3"/>
      <c r="AL641" s="3"/>
    </row>
    <row r="642" spans="34:38" ht="14.25" customHeight="1" x14ac:dyDescent="0.35">
      <c r="AH642" s="3"/>
      <c r="AJ642" s="3"/>
      <c r="AK642" s="3"/>
      <c r="AL642" s="3"/>
    </row>
    <row r="643" spans="34:38" ht="14.25" customHeight="1" x14ac:dyDescent="0.35">
      <c r="AH643" s="3"/>
      <c r="AJ643" s="3"/>
      <c r="AK643" s="3"/>
      <c r="AL643" s="3"/>
    </row>
    <row r="644" spans="34:38" ht="14.25" customHeight="1" x14ac:dyDescent="0.35">
      <c r="AH644" s="3"/>
      <c r="AJ644" s="3"/>
      <c r="AK644" s="3"/>
      <c r="AL644" s="3"/>
    </row>
    <row r="645" spans="34:38" ht="14.25" customHeight="1" x14ac:dyDescent="0.35">
      <c r="AH645" s="3"/>
      <c r="AJ645" s="3"/>
      <c r="AK645" s="3"/>
      <c r="AL645" s="3"/>
    </row>
    <row r="646" spans="34:38" ht="14.25" customHeight="1" x14ac:dyDescent="0.35">
      <c r="AH646" s="3"/>
      <c r="AJ646" s="3"/>
      <c r="AK646" s="3"/>
      <c r="AL646" s="3"/>
    </row>
    <row r="647" spans="34:38" ht="14.25" customHeight="1" x14ac:dyDescent="0.35">
      <c r="AH647" s="3"/>
      <c r="AJ647" s="3"/>
      <c r="AK647" s="3"/>
      <c r="AL647" s="3"/>
    </row>
    <row r="648" spans="34:38" ht="14.25" customHeight="1" x14ac:dyDescent="0.35">
      <c r="AH648" s="3"/>
      <c r="AJ648" s="3"/>
      <c r="AK648" s="3"/>
      <c r="AL648" s="3"/>
    </row>
    <row r="649" spans="34:38" ht="14.25" customHeight="1" x14ac:dyDescent="0.35">
      <c r="AH649" s="3"/>
      <c r="AJ649" s="3"/>
      <c r="AK649" s="3"/>
      <c r="AL649" s="3"/>
    </row>
    <row r="650" spans="34:38" ht="14.25" customHeight="1" x14ac:dyDescent="0.35">
      <c r="AH650" s="3"/>
      <c r="AJ650" s="3"/>
      <c r="AK650" s="3"/>
      <c r="AL650" s="3"/>
    </row>
    <row r="651" spans="34:38" ht="14.25" customHeight="1" x14ac:dyDescent="0.35">
      <c r="AH651" s="3"/>
      <c r="AJ651" s="3"/>
      <c r="AK651" s="3"/>
      <c r="AL651" s="3"/>
    </row>
    <row r="652" spans="34:38" ht="14.25" customHeight="1" x14ac:dyDescent="0.35">
      <c r="AH652" s="3"/>
      <c r="AJ652" s="3"/>
      <c r="AK652" s="3"/>
      <c r="AL652" s="3"/>
    </row>
    <row r="653" spans="34:38" ht="14.25" customHeight="1" x14ac:dyDescent="0.35">
      <c r="AH653" s="3"/>
      <c r="AJ653" s="3"/>
      <c r="AK653" s="3"/>
      <c r="AL653" s="3"/>
    </row>
    <row r="654" spans="34:38" ht="14.25" customHeight="1" x14ac:dyDescent="0.35">
      <c r="AH654" s="3"/>
      <c r="AJ654" s="3"/>
      <c r="AK654" s="3"/>
      <c r="AL654" s="3"/>
    </row>
    <row r="655" spans="34:38" ht="14.25" customHeight="1" x14ac:dyDescent="0.35">
      <c r="AH655" s="3"/>
      <c r="AJ655" s="3"/>
      <c r="AK655" s="3"/>
      <c r="AL655" s="3"/>
    </row>
    <row r="656" spans="34:38" ht="14.25" customHeight="1" x14ac:dyDescent="0.35">
      <c r="AH656" s="3"/>
      <c r="AJ656" s="3"/>
      <c r="AK656" s="3"/>
      <c r="AL656" s="3"/>
    </row>
    <row r="657" spans="34:38" ht="14.25" customHeight="1" x14ac:dyDescent="0.35">
      <c r="AH657" s="3"/>
      <c r="AJ657" s="3"/>
      <c r="AK657" s="3"/>
      <c r="AL657" s="3"/>
    </row>
    <row r="658" spans="34:38" ht="14.25" customHeight="1" x14ac:dyDescent="0.35">
      <c r="AH658" s="3"/>
      <c r="AJ658" s="3"/>
      <c r="AK658" s="3"/>
      <c r="AL658" s="3"/>
    </row>
    <row r="659" spans="34:38" ht="14.25" customHeight="1" x14ac:dyDescent="0.35">
      <c r="AH659" s="3"/>
      <c r="AJ659" s="3"/>
      <c r="AK659" s="3"/>
      <c r="AL659" s="3"/>
    </row>
    <row r="660" spans="34:38" ht="14.25" customHeight="1" x14ac:dyDescent="0.35">
      <c r="AH660" s="3"/>
      <c r="AJ660" s="3"/>
      <c r="AK660" s="3"/>
      <c r="AL660" s="3"/>
    </row>
    <row r="661" spans="34:38" ht="14.25" customHeight="1" x14ac:dyDescent="0.35">
      <c r="AH661" s="3"/>
      <c r="AJ661" s="3"/>
      <c r="AK661" s="3"/>
      <c r="AL661" s="3"/>
    </row>
    <row r="662" spans="34:38" ht="14.25" customHeight="1" x14ac:dyDescent="0.35">
      <c r="AH662" s="3"/>
      <c r="AJ662" s="3"/>
      <c r="AK662" s="3"/>
      <c r="AL662" s="3"/>
    </row>
    <row r="663" spans="34:38" ht="14.25" customHeight="1" x14ac:dyDescent="0.35">
      <c r="AH663" s="3"/>
      <c r="AJ663" s="3"/>
      <c r="AK663" s="3"/>
      <c r="AL663" s="3"/>
    </row>
    <row r="664" spans="34:38" ht="14.25" customHeight="1" x14ac:dyDescent="0.35">
      <c r="AH664" s="3"/>
      <c r="AJ664" s="3"/>
      <c r="AK664" s="3"/>
      <c r="AL664" s="3"/>
    </row>
    <row r="665" spans="34:38" ht="14.25" customHeight="1" x14ac:dyDescent="0.35">
      <c r="AH665" s="3"/>
      <c r="AJ665" s="3"/>
      <c r="AK665" s="3"/>
      <c r="AL665" s="3"/>
    </row>
    <row r="666" spans="34:38" ht="14.25" customHeight="1" x14ac:dyDescent="0.35">
      <c r="AH666" s="3"/>
      <c r="AJ666" s="3"/>
      <c r="AK666" s="3"/>
      <c r="AL666" s="3"/>
    </row>
    <row r="667" spans="34:38" ht="14.25" customHeight="1" x14ac:dyDescent="0.35">
      <c r="AH667" s="3"/>
      <c r="AJ667" s="3"/>
      <c r="AK667" s="3"/>
      <c r="AL667" s="3"/>
    </row>
    <row r="668" spans="34:38" ht="14.25" customHeight="1" x14ac:dyDescent="0.35">
      <c r="AH668" s="3"/>
      <c r="AJ668" s="3"/>
      <c r="AK668" s="3"/>
      <c r="AL668" s="3"/>
    </row>
    <row r="669" spans="34:38" ht="14.25" customHeight="1" x14ac:dyDescent="0.35">
      <c r="AH669" s="3"/>
      <c r="AJ669" s="3"/>
      <c r="AK669" s="3"/>
      <c r="AL669" s="3"/>
    </row>
    <row r="670" spans="34:38" ht="14.25" customHeight="1" x14ac:dyDescent="0.35">
      <c r="AH670" s="3"/>
      <c r="AJ670" s="3"/>
      <c r="AK670" s="3"/>
      <c r="AL670" s="3"/>
    </row>
    <row r="671" spans="34:38" ht="14.25" customHeight="1" x14ac:dyDescent="0.35">
      <c r="AH671" s="3"/>
      <c r="AJ671" s="3"/>
      <c r="AK671" s="3"/>
      <c r="AL671" s="3"/>
    </row>
    <row r="672" spans="34:38" ht="14.25" customHeight="1" x14ac:dyDescent="0.35">
      <c r="AH672" s="3"/>
      <c r="AJ672" s="3"/>
      <c r="AK672" s="3"/>
      <c r="AL672" s="3"/>
    </row>
    <row r="673" spans="34:38" ht="14.25" customHeight="1" x14ac:dyDescent="0.35">
      <c r="AH673" s="3"/>
      <c r="AJ673" s="3"/>
      <c r="AK673" s="3"/>
      <c r="AL673" s="3"/>
    </row>
    <row r="674" spans="34:38" ht="14.25" customHeight="1" x14ac:dyDescent="0.35">
      <c r="AH674" s="3"/>
      <c r="AJ674" s="3"/>
      <c r="AK674" s="3"/>
      <c r="AL674" s="3"/>
    </row>
    <row r="675" spans="34:38" ht="14.25" customHeight="1" x14ac:dyDescent="0.35">
      <c r="AH675" s="3"/>
      <c r="AJ675" s="3"/>
      <c r="AK675" s="3"/>
      <c r="AL675" s="3"/>
    </row>
    <row r="676" spans="34:38" ht="14.25" customHeight="1" x14ac:dyDescent="0.35">
      <c r="AH676" s="3"/>
      <c r="AJ676" s="3"/>
      <c r="AK676" s="3"/>
      <c r="AL676" s="3"/>
    </row>
    <row r="677" spans="34:38" ht="14.25" customHeight="1" x14ac:dyDescent="0.35">
      <c r="AH677" s="3"/>
      <c r="AJ677" s="3"/>
      <c r="AK677" s="3"/>
      <c r="AL677" s="3"/>
    </row>
    <row r="678" spans="34:38" ht="14.25" customHeight="1" x14ac:dyDescent="0.35">
      <c r="AH678" s="3"/>
      <c r="AJ678" s="3"/>
      <c r="AK678" s="3"/>
      <c r="AL678" s="3"/>
    </row>
    <row r="679" spans="34:38" ht="14.25" customHeight="1" x14ac:dyDescent="0.35">
      <c r="AH679" s="3"/>
      <c r="AJ679" s="3"/>
      <c r="AK679" s="3"/>
      <c r="AL679" s="3"/>
    </row>
    <row r="680" spans="34:38" ht="14.25" customHeight="1" x14ac:dyDescent="0.35">
      <c r="AH680" s="3"/>
      <c r="AJ680" s="3"/>
      <c r="AK680" s="3"/>
      <c r="AL680" s="3"/>
    </row>
    <row r="681" spans="34:38" ht="14.25" customHeight="1" x14ac:dyDescent="0.35">
      <c r="AH681" s="3"/>
      <c r="AJ681" s="3"/>
      <c r="AK681" s="3"/>
      <c r="AL681" s="3"/>
    </row>
    <row r="682" spans="34:38" ht="14.25" customHeight="1" x14ac:dyDescent="0.35">
      <c r="AH682" s="3"/>
      <c r="AJ682" s="3"/>
      <c r="AK682" s="3"/>
      <c r="AL682" s="3"/>
    </row>
    <row r="683" spans="34:38" ht="14.25" customHeight="1" x14ac:dyDescent="0.35">
      <c r="AH683" s="3"/>
      <c r="AJ683" s="3"/>
      <c r="AK683" s="3"/>
      <c r="AL683" s="3"/>
    </row>
    <row r="684" spans="34:38" ht="14.25" customHeight="1" x14ac:dyDescent="0.35">
      <c r="AH684" s="3"/>
      <c r="AJ684" s="3"/>
      <c r="AK684" s="3"/>
      <c r="AL684" s="3"/>
    </row>
    <row r="685" spans="34:38" ht="14.25" customHeight="1" x14ac:dyDescent="0.35">
      <c r="AH685" s="3"/>
      <c r="AJ685" s="3"/>
      <c r="AK685" s="3"/>
      <c r="AL685" s="3"/>
    </row>
    <row r="686" spans="34:38" ht="14.25" customHeight="1" x14ac:dyDescent="0.35">
      <c r="AH686" s="3"/>
      <c r="AJ686" s="3"/>
      <c r="AK686" s="3"/>
      <c r="AL686" s="3"/>
    </row>
    <row r="687" spans="34:38" ht="14.25" customHeight="1" x14ac:dyDescent="0.35">
      <c r="AH687" s="3"/>
      <c r="AJ687" s="3"/>
      <c r="AK687" s="3"/>
      <c r="AL687" s="3"/>
    </row>
    <row r="688" spans="34:38" ht="14.25" customHeight="1" x14ac:dyDescent="0.35">
      <c r="AH688" s="3"/>
      <c r="AJ688" s="3"/>
      <c r="AK688" s="3"/>
      <c r="AL688" s="3"/>
    </row>
    <row r="689" spans="34:38" ht="14.25" customHeight="1" x14ac:dyDescent="0.35">
      <c r="AH689" s="3"/>
      <c r="AJ689" s="3"/>
      <c r="AK689" s="3"/>
      <c r="AL689" s="3"/>
    </row>
    <row r="690" spans="34:38" ht="14.25" customHeight="1" x14ac:dyDescent="0.35">
      <c r="AH690" s="3"/>
      <c r="AJ690" s="3"/>
      <c r="AK690" s="3"/>
      <c r="AL690" s="3"/>
    </row>
    <row r="691" spans="34:38" ht="14.25" customHeight="1" x14ac:dyDescent="0.35">
      <c r="AH691" s="3"/>
      <c r="AJ691" s="3"/>
      <c r="AK691" s="3"/>
      <c r="AL691" s="3"/>
    </row>
    <row r="692" spans="34:38" ht="14.25" customHeight="1" x14ac:dyDescent="0.35">
      <c r="AH692" s="3"/>
      <c r="AJ692" s="3"/>
      <c r="AK692" s="3"/>
      <c r="AL692" s="3"/>
    </row>
    <row r="693" spans="34:38" ht="14.25" customHeight="1" x14ac:dyDescent="0.35">
      <c r="AH693" s="3"/>
      <c r="AJ693" s="3"/>
      <c r="AK693" s="3"/>
      <c r="AL693" s="3"/>
    </row>
    <row r="694" spans="34:38" ht="14.25" customHeight="1" x14ac:dyDescent="0.35">
      <c r="AH694" s="3"/>
      <c r="AJ694" s="3"/>
      <c r="AK694" s="3"/>
      <c r="AL694" s="3"/>
    </row>
    <row r="695" spans="34:38" ht="14.25" customHeight="1" x14ac:dyDescent="0.35">
      <c r="AH695" s="3"/>
      <c r="AJ695" s="3"/>
      <c r="AK695" s="3"/>
      <c r="AL695" s="3"/>
    </row>
    <row r="696" spans="34:38" ht="14.25" customHeight="1" x14ac:dyDescent="0.35">
      <c r="AH696" s="3"/>
      <c r="AJ696" s="3"/>
      <c r="AK696" s="3"/>
      <c r="AL696" s="3"/>
    </row>
    <row r="697" spans="34:38" ht="14.25" customHeight="1" x14ac:dyDescent="0.35">
      <c r="AH697" s="3"/>
      <c r="AJ697" s="3"/>
      <c r="AK697" s="3"/>
      <c r="AL697" s="3"/>
    </row>
    <row r="698" spans="34:38" ht="14.25" customHeight="1" x14ac:dyDescent="0.35">
      <c r="AH698" s="3"/>
      <c r="AJ698" s="3"/>
      <c r="AK698" s="3"/>
      <c r="AL698" s="3"/>
    </row>
    <row r="699" spans="34:38" ht="14.25" customHeight="1" x14ac:dyDescent="0.35">
      <c r="AH699" s="3"/>
      <c r="AJ699" s="3"/>
      <c r="AK699" s="3"/>
      <c r="AL699" s="3"/>
    </row>
    <row r="700" spans="34:38" ht="14.25" customHeight="1" x14ac:dyDescent="0.35">
      <c r="AH700" s="3"/>
      <c r="AJ700" s="3"/>
      <c r="AK700" s="3"/>
      <c r="AL700" s="3"/>
    </row>
    <row r="701" spans="34:38" ht="14.25" customHeight="1" x14ac:dyDescent="0.35">
      <c r="AH701" s="3"/>
      <c r="AJ701" s="3"/>
      <c r="AK701" s="3"/>
      <c r="AL701" s="3"/>
    </row>
    <row r="702" spans="34:38" ht="14.25" customHeight="1" x14ac:dyDescent="0.35">
      <c r="AH702" s="3"/>
      <c r="AJ702" s="3"/>
      <c r="AK702" s="3"/>
      <c r="AL702" s="3"/>
    </row>
    <row r="703" spans="34:38" ht="14.25" customHeight="1" x14ac:dyDescent="0.35">
      <c r="AH703" s="3"/>
      <c r="AJ703" s="3"/>
      <c r="AK703" s="3"/>
      <c r="AL703" s="3"/>
    </row>
    <row r="704" spans="34:38" ht="14.25" customHeight="1" x14ac:dyDescent="0.35">
      <c r="AH704" s="3"/>
      <c r="AJ704" s="3"/>
      <c r="AK704" s="3"/>
      <c r="AL704" s="3"/>
    </row>
    <row r="705" spans="34:38" ht="14.25" customHeight="1" x14ac:dyDescent="0.35">
      <c r="AH705" s="3"/>
      <c r="AJ705" s="3"/>
      <c r="AK705" s="3"/>
      <c r="AL705" s="3"/>
    </row>
    <row r="706" spans="34:38" ht="14.25" customHeight="1" x14ac:dyDescent="0.35">
      <c r="AH706" s="3"/>
      <c r="AJ706" s="3"/>
      <c r="AK706" s="3"/>
      <c r="AL706" s="3"/>
    </row>
    <row r="707" spans="34:38" ht="14.25" customHeight="1" x14ac:dyDescent="0.35">
      <c r="AH707" s="3"/>
      <c r="AJ707" s="3"/>
      <c r="AK707" s="3"/>
      <c r="AL707" s="3"/>
    </row>
    <row r="708" spans="34:38" ht="14.25" customHeight="1" x14ac:dyDescent="0.35">
      <c r="AH708" s="3"/>
      <c r="AJ708" s="3"/>
      <c r="AK708" s="3"/>
      <c r="AL708" s="3"/>
    </row>
    <row r="709" spans="34:38" ht="14.25" customHeight="1" x14ac:dyDescent="0.35">
      <c r="AH709" s="3"/>
      <c r="AJ709" s="3"/>
      <c r="AK709" s="3"/>
      <c r="AL709" s="3"/>
    </row>
    <row r="710" spans="34:38" ht="14.25" customHeight="1" x14ac:dyDescent="0.35">
      <c r="AH710" s="3"/>
      <c r="AJ710" s="3"/>
      <c r="AK710" s="3"/>
      <c r="AL710" s="3"/>
    </row>
    <row r="711" spans="34:38" ht="14.25" customHeight="1" x14ac:dyDescent="0.35">
      <c r="AH711" s="3"/>
      <c r="AJ711" s="3"/>
      <c r="AK711" s="3"/>
      <c r="AL711" s="3"/>
    </row>
    <row r="712" spans="34:38" ht="14.25" customHeight="1" x14ac:dyDescent="0.35">
      <c r="AH712" s="3"/>
      <c r="AJ712" s="3"/>
      <c r="AK712" s="3"/>
      <c r="AL712" s="3"/>
    </row>
    <row r="713" spans="34:38" ht="14.25" customHeight="1" x14ac:dyDescent="0.35">
      <c r="AH713" s="3"/>
      <c r="AJ713" s="3"/>
      <c r="AK713" s="3"/>
      <c r="AL713" s="3"/>
    </row>
    <row r="714" spans="34:38" ht="14.25" customHeight="1" x14ac:dyDescent="0.35">
      <c r="AH714" s="3"/>
      <c r="AJ714" s="3"/>
      <c r="AK714" s="3"/>
      <c r="AL714" s="3"/>
    </row>
    <row r="715" spans="34:38" ht="14.25" customHeight="1" x14ac:dyDescent="0.35">
      <c r="AH715" s="3"/>
      <c r="AJ715" s="3"/>
      <c r="AK715" s="3"/>
      <c r="AL715" s="3"/>
    </row>
    <row r="716" spans="34:38" ht="14.25" customHeight="1" x14ac:dyDescent="0.35">
      <c r="AH716" s="3"/>
      <c r="AJ716" s="3"/>
      <c r="AK716" s="3"/>
      <c r="AL716" s="3"/>
    </row>
    <row r="717" spans="34:38" ht="14.25" customHeight="1" x14ac:dyDescent="0.35">
      <c r="AH717" s="3"/>
      <c r="AJ717" s="3"/>
      <c r="AK717" s="3"/>
      <c r="AL717" s="3"/>
    </row>
    <row r="718" spans="34:38" ht="14.25" customHeight="1" x14ac:dyDescent="0.35">
      <c r="AH718" s="3"/>
      <c r="AJ718" s="3"/>
      <c r="AK718" s="3"/>
      <c r="AL718" s="3"/>
    </row>
    <row r="719" spans="34:38" ht="14.25" customHeight="1" x14ac:dyDescent="0.35">
      <c r="AH719" s="3"/>
      <c r="AJ719" s="3"/>
      <c r="AK719" s="3"/>
      <c r="AL719" s="3"/>
    </row>
    <row r="720" spans="34:38" ht="14.25" customHeight="1" x14ac:dyDescent="0.35">
      <c r="AH720" s="3"/>
      <c r="AJ720" s="3"/>
      <c r="AK720" s="3"/>
      <c r="AL720" s="3"/>
    </row>
    <row r="721" spans="34:38" ht="14.25" customHeight="1" x14ac:dyDescent="0.35">
      <c r="AH721" s="3"/>
      <c r="AJ721" s="3"/>
      <c r="AK721" s="3"/>
      <c r="AL721" s="3"/>
    </row>
    <row r="722" spans="34:38" ht="14.25" customHeight="1" x14ac:dyDescent="0.35">
      <c r="AH722" s="3"/>
      <c r="AJ722" s="3"/>
      <c r="AK722" s="3"/>
      <c r="AL722" s="3"/>
    </row>
    <row r="723" spans="34:38" ht="14.25" customHeight="1" x14ac:dyDescent="0.35">
      <c r="AH723" s="3"/>
      <c r="AJ723" s="3"/>
      <c r="AK723" s="3"/>
      <c r="AL723" s="3"/>
    </row>
    <row r="724" spans="34:38" ht="14.25" customHeight="1" x14ac:dyDescent="0.35">
      <c r="AH724" s="3"/>
      <c r="AJ724" s="3"/>
      <c r="AK724" s="3"/>
      <c r="AL724" s="3"/>
    </row>
    <row r="725" spans="34:38" ht="14.25" customHeight="1" x14ac:dyDescent="0.35">
      <c r="AH725" s="3"/>
      <c r="AJ725" s="3"/>
      <c r="AK725" s="3"/>
      <c r="AL725" s="3"/>
    </row>
    <row r="726" spans="34:38" ht="14.25" customHeight="1" x14ac:dyDescent="0.35">
      <c r="AH726" s="3"/>
      <c r="AJ726" s="3"/>
      <c r="AK726" s="3"/>
      <c r="AL726" s="3"/>
    </row>
    <row r="727" spans="34:38" ht="14.25" customHeight="1" x14ac:dyDescent="0.35">
      <c r="AH727" s="3"/>
      <c r="AJ727" s="3"/>
      <c r="AK727" s="3"/>
      <c r="AL727" s="3"/>
    </row>
    <row r="728" spans="34:38" ht="14.25" customHeight="1" x14ac:dyDescent="0.35">
      <c r="AH728" s="3"/>
      <c r="AJ728" s="3"/>
      <c r="AK728" s="3"/>
      <c r="AL728" s="3"/>
    </row>
    <row r="729" spans="34:38" ht="14.25" customHeight="1" x14ac:dyDescent="0.35">
      <c r="AH729" s="3"/>
      <c r="AJ729" s="3"/>
      <c r="AK729" s="3"/>
      <c r="AL729" s="3"/>
    </row>
    <row r="730" spans="34:38" ht="14.25" customHeight="1" x14ac:dyDescent="0.35">
      <c r="AH730" s="3"/>
      <c r="AJ730" s="3"/>
      <c r="AK730" s="3"/>
      <c r="AL730" s="3"/>
    </row>
    <row r="731" spans="34:38" ht="14.25" customHeight="1" x14ac:dyDescent="0.35">
      <c r="AH731" s="3"/>
      <c r="AJ731" s="3"/>
      <c r="AK731" s="3"/>
      <c r="AL731" s="3"/>
    </row>
    <row r="732" spans="34:38" ht="14.25" customHeight="1" x14ac:dyDescent="0.35">
      <c r="AH732" s="3"/>
      <c r="AJ732" s="3"/>
      <c r="AK732" s="3"/>
      <c r="AL732" s="3"/>
    </row>
    <row r="733" spans="34:38" ht="14.25" customHeight="1" x14ac:dyDescent="0.35">
      <c r="AH733" s="3"/>
      <c r="AJ733" s="3"/>
      <c r="AK733" s="3"/>
      <c r="AL733" s="3"/>
    </row>
    <row r="734" spans="34:38" ht="14.25" customHeight="1" x14ac:dyDescent="0.35">
      <c r="AH734" s="3"/>
      <c r="AJ734" s="3"/>
      <c r="AK734" s="3"/>
      <c r="AL734" s="3"/>
    </row>
    <row r="735" spans="34:38" ht="14.25" customHeight="1" x14ac:dyDescent="0.35">
      <c r="AH735" s="3"/>
      <c r="AJ735" s="3"/>
      <c r="AK735" s="3"/>
      <c r="AL735" s="3"/>
    </row>
    <row r="736" spans="34:38" ht="14.25" customHeight="1" x14ac:dyDescent="0.35">
      <c r="AH736" s="3"/>
      <c r="AJ736" s="3"/>
      <c r="AK736" s="3"/>
      <c r="AL736" s="3"/>
    </row>
    <row r="737" spans="34:38" ht="14.25" customHeight="1" x14ac:dyDescent="0.35">
      <c r="AH737" s="3"/>
      <c r="AJ737" s="3"/>
      <c r="AK737" s="3"/>
      <c r="AL737" s="3"/>
    </row>
    <row r="738" spans="34:38" ht="14.25" customHeight="1" x14ac:dyDescent="0.35">
      <c r="AH738" s="3"/>
      <c r="AJ738" s="3"/>
      <c r="AK738" s="3"/>
      <c r="AL738" s="3"/>
    </row>
    <row r="739" spans="34:38" ht="14.25" customHeight="1" x14ac:dyDescent="0.35">
      <c r="AH739" s="3"/>
      <c r="AJ739" s="3"/>
      <c r="AK739" s="3"/>
      <c r="AL739" s="3"/>
    </row>
    <row r="740" spans="34:38" ht="14.25" customHeight="1" x14ac:dyDescent="0.35">
      <c r="AH740" s="3"/>
      <c r="AJ740" s="3"/>
      <c r="AK740" s="3"/>
      <c r="AL740" s="3"/>
    </row>
    <row r="741" spans="34:38" ht="14.25" customHeight="1" x14ac:dyDescent="0.35">
      <c r="AH741" s="3"/>
      <c r="AJ741" s="3"/>
      <c r="AK741" s="3"/>
      <c r="AL741" s="3"/>
    </row>
    <row r="742" spans="34:38" ht="14.25" customHeight="1" x14ac:dyDescent="0.35">
      <c r="AH742" s="3"/>
      <c r="AJ742" s="3"/>
      <c r="AK742" s="3"/>
      <c r="AL742" s="3"/>
    </row>
    <row r="743" spans="34:38" ht="14.25" customHeight="1" x14ac:dyDescent="0.35">
      <c r="AH743" s="3"/>
      <c r="AJ743" s="3"/>
      <c r="AK743" s="3"/>
      <c r="AL743" s="3"/>
    </row>
    <row r="744" spans="34:38" ht="14.25" customHeight="1" x14ac:dyDescent="0.35">
      <c r="AH744" s="3"/>
      <c r="AJ744" s="3"/>
      <c r="AK744" s="3"/>
      <c r="AL744" s="3"/>
    </row>
    <row r="745" spans="34:38" ht="14.25" customHeight="1" x14ac:dyDescent="0.35">
      <c r="AH745" s="3"/>
      <c r="AJ745" s="3"/>
      <c r="AK745" s="3"/>
      <c r="AL745" s="3"/>
    </row>
    <row r="746" spans="34:38" ht="14.25" customHeight="1" x14ac:dyDescent="0.35">
      <c r="AH746" s="3"/>
      <c r="AJ746" s="3"/>
      <c r="AK746" s="3"/>
      <c r="AL746" s="3"/>
    </row>
    <row r="747" spans="34:38" ht="14.25" customHeight="1" x14ac:dyDescent="0.35">
      <c r="AH747" s="3"/>
      <c r="AJ747" s="3"/>
      <c r="AK747" s="3"/>
      <c r="AL747" s="3"/>
    </row>
    <row r="748" spans="34:38" ht="14.25" customHeight="1" x14ac:dyDescent="0.35">
      <c r="AH748" s="3"/>
      <c r="AJ748" s="3"/>
      <c r="AK748" s="3"/>
      <c r="AL748" s="3"/>
    </row>
    <row r="749" spans="34:38" ht="14.25" customHeight="1" x14ac:dyDescent="0.35">
      <c r="AH749" s="3"/>
      <c r="AJ749" s="3"/>
      <c r="AK749" s="3"/>
      <c r="AL749" s="3"/>
    </row>
    <row r="750" spans="34:38" ht="14.25" customHeight="1" x14ac:dyDescent="0.35">
      <c r="AH750" s="3"/>
      <c r="AJ750" s="3"/>
      <c r="AK750" s="3"/>
      <c r="AL750" s="3"/>
    </row>
    <row r="751" spans="34:38" ht="14.25" customHeight="1" x14ac:dyDescent="0.35">
      <c r="AH751" s="3"/>
      <c r="AJ751" s="3"/>
      <c r="AK751" s="3"/>
      <c r="AL751" s="3"/>
    </row>
    <row r="752" spans="34:38" ht="14.25" customHeight="1" x14ac:dyDescent="0.35">
      <c r="AH752" s="3"/>
      <c r="AJ752" s="3"/>
      <c r="AK752" s="3"/>
      <c r="AL752" s="3"/>
    </row>
    <row r="753" spans="34:38" ht="14.25" customHeight="1" x14ac:dyDescent="0.35">
      <c r="AH753" s="3"/>
      <c r="AJ753" s="3"/>
      <c r="AK753" s="3"/>
      <c r="AL753" s="3"/>
    </row>
    <row r="754" spans="34:38" ht="14.25" customHeight="1" x14ac:dyDescent="0.35">
      <c r="AH754" s="3"/>
      <c r="AJ754" s="3"/>
      <c r="AK754" s="3"/>
      <c r="AL754" s="3"/>
    </row>
    <row r="755" spans="34:38" ht="14.25" customHeight="1" x14ac:dyDescent="0.35">
      <c r="AH755" s="3"/>
      <c r="AJ755" s="3"/>
      <c r="AK755" s="3"/>
      <c r="AL755" s="3"/>
    </row>
    <row r="756" spans="34:38" ht="14.25" customHeight="1" x14ac:dyDescent="0.35">
      <c r="AH756" s="3"/>
      <c r="AJ756" s="3"/>
      <c r="AK756" s="3"/>
      <c r="AL756" s="3"/>
    </row>
    <row r="757" spans="34:38" ht="14.25" customHeight="1" x14ac:dyDescent="0.35">
      <c r="AH757" s="3"/>
      <c r="AJ757" s="3"/>
      <c r="AK757" s="3"/>
      <c r="AL757" s="3"/>
    </row>
    <row r="758" spans="34:38" ht="14.25" customHeight="1" x14ac:dyDescent="0.35">
      <c r="AH758" s="3"/>
      <c r="AJ758" s="3"/>
      <c r="AK758" s="3"/>
      <c r="AL758" s="3"/>
    </row>
    <row r="759" spans="34:38" ht="14.25" customHeight="1" x14ac:dyDescent="0.35">
      <c r="AH759" s="3"/>
      <c r="AJ759" s="3"/>
      <c r="AK759" s="3"/>
      <c r="AL759" s="3"/>
    </row>
    <row r="760" spans="34:38" ht="14.25" customHeight="1" x14ac:dyDescent="0.35">
      <c r="AH760" s="3"/>
      <c r="AJ760" s="3"/>
      <c r="AK760" s="3"/>
      <c r="AL760" s="3"/>
    </row>
    <row r="761" spans="34:38" ht="14.25" customHeight="1" x14ac:dyDescent="0.35">
      <c r="AH761" s="3"/>
      <c r="AJ761" s="3"/>
      <c r="AK761" s="3"/>
      <c r="AL761" s="3"/>
    </row>
    <row r="762" spans="34:38" ht="14.25" customHeight="1" x14ac:dyDescent="0.35">
      <c r="AH762" s="3"/>
      <c r="AJ762" s="3"/>
      <c r="AK762" s="3"/>
      <c r="AL762" s="3"/>
    </row>
    <row r="763" spans="34:38" ht="14.25" customHeight="1" x14ac:dyDescent="0.35">
      <c r="AH763" s="3"/>
      <c r="AJ763" s="3"/>
      <c r="AK763" s="3"/>
      <c r="AL763" s="3"/>
    </row>
    <row r="764" spans="34:38" ht="14.25" customHeight="1" x14ac:dyDescent="0.35">
      <c r="AH764" s="3"/>
      <c r="AJ764" s="3"/>
      <c r="AK764" s="3"/>
      <c r="AL764" s="3"/>
    </row>
    <row r="765" spans="34:38" ht="14.25" customHeight="1" x14ac:dyDescent="0.35">
      <c r="AH765" s="3"/>
      <c r="AJ765" s="3"/>
      <c r="AK765" s="3"/>
      <c r="AL765" s="3"/>
    </row>
    <row r="766" spans="34:38" ht="14.25" customHeight="1" x14ac:dyDescent="0.35">
      <c r="AH766" s="3"/>
      <c r="AJ766" s="3"/>
      <c r="AK766" s="3"/>
      <c r="AL766" s="3"/>
    </row>
    <row r="767" spans="34:38" ht="14.25" customHeight="1" x14ac:dyDescent="0.35">
      <c r="AH767" s="3"/>
      <c r="AJ767" s="3"/>
      <c r="AK767" s="3"/>
      <c r="AL767" s="3"/>
    </row>
    <row r="768" spans="34:38" ht="14.25" customHeight="1" x14ac:dyDescent="0.35">
      <c r="AH768" s="3"/>
      <c r="AJ768" s="3"/>
      <c r="AK768" s="3"/>
      <c r="AL768" s="3"/>
    </row>
    <row r="769" spans="34:38" ht="14.25" customHeight="1" x14ac:dyDescent="0.35">
      <c r="AH769" s="3"/>
      <c r="AJ769" s="3"/>
      <c r="AK769" s="3"/>
      <c r="AL769" s="3"/>
    </row>
    <row r="770" spans="34:38" ht="14.25" customHeight="1" x14ac:dyDescent="0.35">
      <c r="AH770" s="3"/>
      <c r="AJ770" s="3"/>
      <c r="AK770" s="3"/>
      <c r="AL770" s="3"/>
    </row>
    <row r="771" spans="34:38" ht="14.25" customHeight="1" x14ac:dyDescent="0.35">
      <c r="AH771" s="3"/>
      <c r="AJ771" s="3"/>
      <c r="AK771" s="3"/>
      <c r="AL771" s="3"/>
    </row>
    <row r="772" spans="34:38" ht="14.25" customHeight="1" x14ac:dyDescent="0.35">
      <c r="AH772" s="3"/>
      <c r="AJ772" s="3"/>
      <c r="AK772" s="3"/>
      <c r="AL772" s="3"/>
    </row>
    <row r="773" spans="34:38" ht="14.25" customHeight="1" x14ac:dyDescent="0.35">
      <c r="AH773" s="3"/>
      <c r="AJ773" s="3"/>
      <c r="AK773" s="3"/>
      <c r="AL773" s="3"/>
    </row>
    <row r="774" spans="34:38" ht="14.25" customHeight="1" x14ac:dyDescent="0.35">
      <c r="AH774" s="3"/>
      <c r="AJ774" s="3"/>
      <c r="AK774" s="3"/>
      <c r="AL774" s="3"/>
    </row>
    <row r="775" spans="34:38" ht="14.25" customHeight="1" x14ac:dyDescent="0.35">
      <c r="AH775" s="3"/>
      <c r="AJ775" s="3"/>
      <c r="AK775" s="3"/>
      <c r="AL775" s="3"/>
    </row>
    <row r="776" spans="34:38" ht="14.25" customHeight="1" x14ac:dyDescent="0.35">
      <c r="AH776" s="3"/>
      <c r="AJ776" s="3"/>
      <c r="AK776" s="3"/>
      <c r="AL776" s="3"/>
    </row>
    <row r="777" spans="34:38" ht="14.25" customHeight="1" x14ac:dyDescent="0.35">
      <c r="AH777" s="3"/>
      <c r="AJ777" s="3"/>
      <c r="AK777" s="3"/>
      <c r="AL777" s="3"/>
    </row>
    <row r="778" spans="34:38" ht="14.25" customHeight="1" x14ac:dyDescent="0.35">
      <c r="AH778" s="3"/>
      <c r="AJ778" s="3"/>
      <c r="AK778" s="3"/>
      <c r="AL778" s="3"/>
    </row>
    <row r="779" spans="34:38" ht="14.25" customHeight="1" x14ac:dyDescent="0.35">
      <c r="AH779" s="3"/>
      <c r="AJ779" s="3"/>
      <c r="AK779" s="3"/>
      <c r="AL779" s="3"/>
    </row>
    <row r="780" spans="34:38" ht="14.25" customHeight="1" x14ac:dyDescent="0.35">
      <c r="AH780" s="3"/>
      <c r="AJ780" s="3"/>
      <c r="AK780" s="3"/>
      <c r="AL780" s="3"/>
    </row>
    <row r="781" spans="34:38" ht="14.25" customHeight="1" x14ac:dyDescent="0.35">
      <c r="AH781" s="3"/>
      <c r="AJ781" s="3"/>
      <c r="AK781" s="3"/>
      <c r="AL781" s="3"/>
    </row>
    <row r="782" spans="34:38" ht="14.25" customHeight="1" x14ac:dyDescent="0.35">
      <c r="AH782" s="3"/>
      <c r="AJ782" s="3"/>
      <c r="AK782" s="3"/>
      <c r="AL782" s="3"/>
    </row>
    <row r="783" spans="34:38" ht="14.25" customHeight="1" x14ac:dyDescent="0.35">
      <c r="AH783" s="3"/>
      <c r="AJ783" s="3"/>
      <c r="AK783" s="3"/>
      <c r="AL783" s="3"/>
    </row>
    <row r="784" spans="34:38" ht="14.25" customHeight="1" x14ac:dyDescent="0.35">
      <c r="AH784" s="3"/>
      <c r="AJ784" s="3"/>
      <c r="AK784" s="3"/>
      <c r="AL784" s="3"/>
    </row>
    <row r="785" spans="34:38" ht="14.25" customHeight="1" x14ac:dyDescent="0.35">
      <c r="AH785" s="3"/>
      <c r="AJ785" s="3"/>
      <c r="AK785" s="3"/>
      <c r="AL785" s="3"/>
    </row>
    <row r="786" spans="34:38" ht="14.25" customHeight="1" x14ac:dyDescent="0.35">
      <c r="AH786" s="3"/>
      <c r="AJ786" s="3"/>
      <c r="AK786" s="3"/>
      <c r="AL786" s="3"/>
    </row>
    <row r="787" spans="34:38" ht="14.25" customHeight="1" x14ac:dyDescent="0.35">
      <c r="AH787" s="3"/>
      <c r="AJ787" s="3"/>
      <c r="AK787" s="3"/>
      <c r="AL787" s="3"/>
    </row>
    <row r="788" spans="34:38" ht="14.25" customHeight="1" x14ac:dyDescent="0.35">
      <c r="AH788" s="3"/>
      <c r="AJ788" s="3"/>
      <c r="AK788" s="3"/>
      <c r="AL788" s="3"/>
    </row>
    <row r="789" spans="34:38" ht="14.25" customHeight="1" x14ac:dyDescent="0.35">
      <c r="AH789" s="3"/>
      <c r="AJ789" s="3"/>
      <c r="AK789" s="3"/>
      <c r="AL789" s="3"/>
    </row>
    <row r="790" spans="34:38" ht="14.25" customHeight="1" x14ac:dyDescent="0.35">
      <c r="AH790" s="3"/>
      <c r="AJ790" s="3"/>
      <c r="AK790" s="3"/>
      <c r="AL790" s="3"/>
    </row>
    <row r="791" spans="34:38" ht="14.25" customHeight="1" x14ac:dyDescent="0.35">
      <c r="AH791" s="3"/>
      <c r="AJ791" s="3"/>
      <c r="AK791" s="3"/>
      <c r="AL791" s="3"/>
    </row>
    <row r="792" spans="34:38" ht="14.25" customHeight="1" x14ac:dyDescent="0.35">
      <c r="AH792" s="3"/>
      <c r="AJ792" s="3"/>
      <c r="AK792" s="3"/>
      <c r="AL792" s="3"/>
    </row>
    <row r="793" spans="34:38" ht="14.25" customHeight="1" x14ac:dyDescent="0.35">
      <c r="AH793" s="3"/>
      <c r="AJ793" s="3"/>
      <c r="AK793" s="3"/>
      <c r="AL793" s="3"/>
    </row>
    <row r="794" spans="34:38" ht="14.25" customHeight="1" x14ac:dyDescent="0.35">
      <c r="AH794" s="3"/>
      <c r="AJ794" s="3"/>
      <c r="AK794" s="3"/>
      <c r="AL794" s="3"/>
    </row>
    <row r="795" spans="34:38" ht="14.25" customHeight="1" x14ac:dyDescent="0.35">
      <c r="AH795" s="3"/>
      <c r="AJ795" s="3"/>
      <c r="AK795" s="3"/>
      <c r="AL795" s="3"/>
    </row>
    <row r="796" spans="34:38" ht="14.25" customHeight="1" x14ac:dyDescent="0.35">
      <c r="AH796" s="3"/>
      <c r="AJ796" s="3"/>
      <c r="AK796" s="3"/>
      <c r="AL796" s="3"/>
    </row>
    <row r="797" spans="34:38" ht="14.25" customHeight="1" x14ac:dyDescent="0.35">
      <c r="AH797" s="3"/>
      <c r="AJ797" s="3"/>
      <c r="AK797" s="3"/>
      <c r="AL797" s="3"/>
    </row>
    <row r="798" spans="34:38" ht="14.25" customHeight="1" x14ac:dyDescent="0.35">
      <c r="AH798" s="3"/>
      <c r="AJ798" s="3"/>
      <c r="AK798" s="3"/>
      <c r="AL798" s="3"/>
    </row>
    <row r="799" spans="34:38" ht="14.25" customHeight="1" x14ac:dyDescent="0.35">
      <c r="AH799" s="3"/>
      <c r="AJ799" s="3"/>
      <c r="AK799" s="3"/>
      <c r="AL799" s="3"/>
    </row>
    <row r="800" spans="34:38" ht="14.25" customHeight="1" x14ac:dyDescent="0.35">
      <c r="AH800" s="3"/>
      <c r="AJ800" s="3"/>
      <c r="AK800" s="3"/>
      <c r="AL800" s="3"/>
    </row>
    <row r="801" spans="34:38" ht="14.25" customHeight="1" x14ac:dyDescent="0.35">
      <c r="AH801" s="3"/>
      <c r="AJ801" s="3"/>
      <c r="AK801" s="3"/>
      <c r="AL801" s="3"/>
    </row>
    <row r="802" spans="34:38" ht="14.25" customHeight="1" x14ac:dyDescent="0.35">
      <c r="AH802" s="3"/>
      <c r="AJ802" s="3"/>
      <c r="AK802" s="3"/>
      <c r="AL802" s="3"/>
    </row>
    <row r="803" spans="34:38" ht="14.25" customHeight="1" x14ac:dyDescent="0.35">
      <c r="AH803" s="3"/>
      <c r="AJ803" s="3"/>
      <c r="AK803" s="3"/>
      <c r="AL803" s="3"/>
    </row>
    <row r="804" spans="34:38" ht="14.25" customHeight="1" x14ac:dyDescent="0.35">
      <c r="AH804" s="3"/>
      <c r="AJ804" s="3"/>
      <c r="AK804" s="3"/>
      <c r="AL804" s="3"/>
    </row>
    <row r="805" spans="34:38" ht="14.25" customHeight="1" x14ac:dyDescent="0.35">
      <c r="AH805" s="3"/>
      <c r="AJ805" s="3"/>
      <c r="AK805" s="3"/>
      <c r="AL805" s="3"/>
    </row>
    <row r="806" spans="34:38" ht="14.25" customHeight="1" x14ac:dyDescent="0.35">
      <c r="AH806" s="3"/>
      <c r="AJ806" s="3"/>
      <c r="AK806" s="3"/>
      <c r="AL806" s="3"/>
    </row>
    <row r="807" spans="34:38" ht="14.25" customHeight="1" x14ac:dyDescent="0.35">
      <c r="AH807" s="3"/>
      <c r="AJ807" s="3"/>
      <c r="AK807" s="3"/>
      <c r="AL807" s="3"/>
    </row>
    <row r="808" spans="34:38" ht="14.25" customHeight="1" x14ac:dyDescent="0.35">
      <c r="AH808" s="3"/>
      <c r="AJ808" s="3"/>
      <c r="AK808" s="3"/>
      <c r="AL808" s="3"/>
    </row>
    <row r="809" spans="34:38" ht="14.25" customHeight="1" x14ac:dyDescent="0.35">
      <c r="AH809" s="3"/>
      <c r="AJ809" s="3"/>
      <c r="AK809" s="3"/>
      <c r="AL809" s="3"/>
    </row>
    <row r="810" spans="34:38" ht="14.25" customHeight="1" x14ac:dyDescent="0.35">
      <c r="AH810" s="3"/>
      <c r="AJ810" s="3"/>
      <c r="AK810" s="3"/>
      <c r="AL810" s="3"/>
    </row>
    <row r="811" spans="34:38" ht="14.25" customHeight="1" x14ac:dyDescent="0.35">
      <c r="AH811" s="3"/>
      <c r="AJ811" s="3"/>
      <c r="AK811" s="3"/>
      <c r="AL811" s="3"/>
    </row>
    <row r="812" spans="34:38" ht="14.25" customHeight="1" x14ac:dyDescent="0.35">
      <c r="AH812" s="3"/>
      <c r="AJ812" s="3"/>
      <c r="AK812" s="3"/>
      <c r="AL812" s="3"/>
    </row>
    <row r="813" spans="34:38" ht="14.25" customHeight="1" x14ac:dyDescent="0.35">
      <c r="AH813" s="3"/>
      <c r="AJ813" s="3"/>
      <c r="AK813" s="3"/>
      <c r="AL813" s="3"/>
    </row>
    <row r="814" spans="34:38" ht="14.25" customHeight="1" x14ac:dyDescent="0.35">
      <c r="AH814" s="3"/>
      <c r="AJ814" s="3"/>
      <c r="AK814" s="3"/>
      <c r="AL814" s="3"/>
    </row>
    <row r="815" spans="34:38" ht="14.25" customHeight="1" x14ac:dyDescent="0.35">
      <c r="AH815" s="3"/>
      <c r="AJ815" s="3"/>
      <c r="AK815" s="3"/>
      <c r="AL815" s="3"/>
    </row>
    <row r="816" spans="34:38" ht="14.25" customHeight="1" x14ac:dyDescent="0.35">
      <c r="AH816" s="3"/>
      <c r="AJ816" s="3"/>
      <c r="AK816" s="3"/>
      <c r="AL816" s="3"/>
    </row>
    <row r="817" spans="34:38" ht="14.25" customHeight="1" x14ac:dyDescent="0.35">
      <c r="AH817" s="3"/>
      <c r="AJ817" s="3"/>
      <c r="AK817" s="3"/>
      <c r="AL817" s="3"/>
    </row>
    <row r="818" spans="34:38" ht="14.25" customHeight="1" x14ac:dyDescent="0.35">
      <c r="AH818" s="3"/>
      <c r="AJ818" s="3"/>
      <c r="AK818" s="3"/>
      <c r="AL818" s="3"/>
    </row>
    <row r="819" spans="34:38" ht="14.25" customHeight="1" x14ac:dyDescent="0.35">
      <c r="AH819" s="3"/>
      <c r="AJ819" s="3"/>
      <c r="AK819" s="3"/>
      <c r="AL819" s="3"/>
    </row>
    <row r="820" spans="34:38" ht="14.25" customHeight="1" x14ac:dyDescent="0.35">
      <c r="AH820" s="3"/>
      <c r="AJ820" s="3"/>
      <c r="AK820" s="3"/>
      <c r="AL820" s="3"/>
    </row>
    <row r="821" spans="34:38" ht="14.25" customHeight="1" x14ac:dyDescent="0.35">
      <c r="AH821" s="3"/>
      <c r="AJ821" s="3"/>
      <c r="AK821" s="3"/>
      <c r="AL821" s="3"/>
    </row>
    <row r="822" spans="34:38" ht="14.25" customHeight="1" x14ac:dyDescent="0.35">
      <c r="AH822" s="3"/>
      <c r="AJ822" s="3"/>
      <c r="AK822" s="3"/>
      <c r="AL822" s="3"/>
    </row>
    <row r="823" spans="34:38" ht="14.25" customHeight="1" x14ac:dyDescent="0.35">
      <c r="AH823" s="3"/>
      <c r="AJ823" s="3"/>
      <c r="AK823" s="3"/>
      <c r="AL823" s="3"/>
    </row>
    <row r="824" spans="34:38" ht="14.25" customHeight="1" x14ac:dyDescent="0.35">
      <c r="AH824" s="3"/>
      <c r="AJ824" s="3"/>
      <c r="AK824" s="3"/>
      <c r="AL824" s="3"/>
    </row>
    <row r="825" spans="34:38" ht="14.25" customHeight="1" x14ac:dyDescent="0.35">
      <c r="AH825" s="3"/>
      <c r="AJ825" s="3"/>
      <c r="AK825" s="3"/>
      <c r="AL825" s="3"/>
    </row>
    <row r="826" spans="34:38" ht="14.25" customHeight="1" x14ac:dyDescent="0.35">
      <c r="AH826" s="3"/>
      <c r="AJ826" s="3"/>
      <c r="AK826" s="3"/>
      <c r="AL826" s="3"/>
    </row>
    <row r="827" spans="34:38" ht="14.25" customHeight="1" x14ac:dyDescent="0.35">
      <c r="AH827" s="3"/>
      <c r="AJ827" s="3"/>
      <c r="AK827" s="3"/>
      <c r="AL827" s="3"/>
    </row>
    <row r="828" spans="34:38" ht="14.25" customHeight="1" x14ac:dyDescent="0.35">
      <c r="AH828" s="3"/>
      <c r="AJ828" s="3"/>
      <c r="AK828" s="3"/>
      <c r="AL828" s="3"/>
    </row>
    <row r="829" spans="34:38" ht="14.25" customHeight="1" x14ac:dyDescent="0.35">
      <c r="AH829" s="3"/>
      <c r="AJ829" s="3"/>
      <c r="AK829" s="3"/>
      <c r="AL829" s="3"/>
    </row>
    <row r="830" spans="34:38" ht="14.25" customHeight="1" x14ac:dyDescent="0.35">
      <c r="AH830" s="3"/>
      <c r="AJ830" s="3"/>
      <c r="AK830" s="3"/>
      <c r="AL830" s="3"/>
    </row>
    <row r="831" spans="34:38" ht="14.25" customHeight="1" x14ac:dyDescent="0.35">
      <c r="AH831" s="3"/>
      <c r="AJ831" s="3"/>
      <c r="AK831" s="3"/>
      <c r="AL831" s="3"/>
    </row>
    <row r="832" spans="34:38" ht="14.25" customHeight="1" x14ac:dyDescent="0.35">
      <c r="AH832" s="3"/>
      <c r="AJ832" s="3"/>
      <c r="AK832" s="3"/>
      <c r="AL832" s="3"/>
    </row>
    <row r="833" spans="34:38" ht="14.25" customHeight="1" x14ac:dyDescent="0.35">
      <c r="AH833" s="3"/>
      <c r="AJ833" s="3"/>
      <c r="AK833" s="3"/>
      <c r="AL833" s="3"/>
    </row>
    <row r="834" spans="34:38" ht="14.25" customHeight="1" x14ac:dyDescent="0.35">
      <c r="AH834" s="3"/>
      <c r="AJ834" s="3"/>
      <c r="AK834" s="3"/>
      <c r="AL834" s="3"/>
    </row>
    <row r="835" spans="34:38" ht="14.25" customHeight="1" x14ac:dyDescent="0.35">
      <c r="AH835" s="3"/>
      <c r="AJ835" s="3"/>
      <c r="AK835" s="3"/>
      <c r="AL835" s="3"/>
    </row>
    <row r="836" spans="34:38" ht="14.25" customHeight="1" x14ac:dyDescent="0.35">
      <c r="AH836" s="3"/>
      <c r="AJ836" s="3"/>
      <c r="AK836" s="3"/>
      <c r="AL836" s="3"/>
    </row>
    <row r="837" spans="34:38" ht="14.25" customHeight="1" x14ac:dyDescent="0.35">
      <c r="AH837" s="3"/>
      <c r="AJ837" s="3"/>
      <c r="AK837" s="3"/>
      <c r="AL837" s="3"/>
    </row>
    <row r="838" spans="34:38" ht="14.25" customHeight="1" x14ac:dyDescent="0.35">
      <c r="AH838" s="3"/>
      <c r="AJ838" s="3"/>
      <c r="AK838" s="3"/>
      <c r="AL838" s="3"/>
    </row>
    <row r="839" spans="34:38" ht="14.25" customHeight="1" x14ac:dyDescent="0.35">
      <c r="AH839" s="3"/>
      <c r="AJ839" s="3"/>
      <c r="AK839" s="3"/>
      <c r="AL839" s="3"/>
    </row>
    <row r="840" spans="34:38" ht="14.25" customHeight="1" x14ac:dyDescent="0.35">
      <c r="AH840" s="3"/>
      <c r="AJ840" s="3"/>
      <c r="AK840" s="3"/>
      <c r="AL840" s="3"/>
    </row>
    <row r="841" spans="34:38" ht="14.25" customHeight="1" x14ac:dyDescent="0.35">
      <c r="AH841" s="3"/>
      <c r="AJ841" s="3"/>
      <c r="AK841" s="3"/>
      <c r="AL841" s="3"/>
    </row>
    <row r="842" spans="34:38" ht="14.25" customHeight="1" x14ac:dyDescent="0.35">
      <c r="AH842" s="3"/>
      <c r="AJ842" s="3"/>
      <c r="AK842" s="3"/>
      <c r="AL842" s="3"/>
    </row>
    <row r="843" spans="34:38" ht="14.25" customHeight="1" x14ac:dyDescent="0.35">
      <c r="AH843" s="3"/>
      <c r="AJ843" s="3"/>
      <c r="AK843" s="3"/>
      <c r="AL843" s="3"/>
    </row>
    <row r="844" spans="34:38" ht="14.25" customHeight="1" x14ac:dyDescent="0.35">
      <c r="AH844" s="3"/>
      <c r="AJ844" s="3"/>
      <c r="AK844" s="3"/>
      <c r="AL844" s="3"/>
    </row>
    <row r="845" spans="34:38" ht="14.25" customHeight="1" x14ac:dyDescent="0.35">
      <c r="AH845" s="3"/>
      <c r="AJ845" s="3"/>
      <c r="AK845" s="3"/>
      <c r="AL845" s="3"/>
    </row>
    <row r="846" spans="34:38" ht="14.25" customHeight="1" x14ac:dyDescent="0.35">
      <c r="AH846" s="3"/>
      <c r="AJ846" s="3"/>
      <c r="AK846" s="3"/>
      <c r="AL846" s="3"/>
    </row>
    <row r="847" spans="34:38" ht="14.25" customHeight="1" x14ac:dyDescent="0.35">
      <c r="AH847" s="3"/>
      <c r="AJ847" s="3"/>
      <c r="AK847" s="3"/>
      <c r="AL847" s="3"/>
    </row>
    <row r="848" spans="34:38" ht="14.25" customHeight="1" x14ac:dyDescent="0.35">
      <c r="AH848" s="3"/>
      <c r="AJ848" s="3"/>
      <c r="AK848" s="3"/>
      <c r="AL848" s="3"/>
    </row>
    <row r="849" spans="34:38" ht="14.25" customHeight="1" x14ac:dyDescent="0.35">
      <c r="AH849" s="3"/>
      <c r="AJ849" s="3"/>
      <c r="AK849" s="3"/>
      <c r="AL849" s="3"/>
    </row>
    <row r="850" spans="34:38" ht="14.25" customHeight="1" x14ac:dyDescent="0.35">
      <c r="AH850" s="3"/>
      <c r="AJ850" s="3"/>
      <c r="AK850" s="3"/>
      <c r="AL850" s="3"/>
    </row>
    <row r="851" spans="34:38" ht="14.25" customHeight="1" x14ac:dyDescent="0.35">
      <c r="AH851" s="3"/>
      <c r="AJ851" s="3"/>
      <c r="AK851" s="3"/>
      <c r="AL851" s="3"/>
    </row>
    <row r="852" spans="34:38" ht="14.25" customHeight="1" x14ac:dyDescent="0.35">
      <c r="AH852" s="3"/>
      <c r="AJ852" s="3"/>
      <c r="AK852" s="3"/>
      <c r="AL852" s="3"/>
    </row>
    <row r="853" spans="34:38" ht="14.25" customHeight="1" x14ac:dyDescent="0.35">
      <c r="AH853" s="3"/>
      <c r="AJ853" s="3"/>
      <c r="AK853" s="3"/>
      <c r="AL853" s="3"/>
    </row>
    <row r="854" spans="34:38" ht="14.25" customHeight="1" x14ac:dyDescent="0.35">
      <c r="AH854" s="3"/>
      <c r="AJ854" s="3"/>
      <c r="AK854" s="3"/>
      <c r="AL854" s="3"/>
    </row>
    <row r="855" spans="34:38" ht="14.25" customHeight="1" x14ac:dyDescent="0.35">
      <c r="AH855" s="3"/>
      <c r="AJ855" s="3"/>
      <c r="AK855" s="3"/>
      <c r="AL855" s="3"/>
    </row>
    <row r="856" spans="34:38" ht="14.25" customHeight="1" x14ac:dyDescent="0.35">
      <c r="AH856" s="3"/>
      <c r="AJ856" s="3"/>
      <c r="AK856" s="3"/>
      <c r="AL856" s="3"/>
    </row>
    <row r="857" spans="34:38" ht="14.25" customHeight="1" x14ac:dyDescent="0.35">
      <c r="AH857" s="3"/>
      <c r="AJ857" s="3"/>
      <c r="AK857" s="3"/>
      <c r="AL857" s="3"/>
    </row>
    <row r="858" spans="34:38" ht="14.25" customHeight="1" x14ac:dyDescent="0.35">
      <c r="AH858" s="3"/>
      <c r="AJ858" s="3"/>
      <c r="AK858" s="3"/>
      <c r="AL858" s="3"/>
    </row>
    <row r="859" spans="34:38" ht="14.25" customHeight="1" x14ac:dyDescent="0.35">
      <c r="AH859" s="3"/>
      <c r="AJ859" s="3"/>
      <c r="AK859" s="3"/>
      <c r="AL859" s="3"/>
    </row>
    <row r="860" spans="34:38" ht="14.25" customHeight="1" x14ac:dyDescent="0.35">
      <c r="AH860" s="3"/>
      <c r="AJ860" s="3"/>
      <c r="AK860" s="3"/>
      <c r="AL860" s="3"/>
    </row>
    <row r="861" spans="34:38" ht="14.25" customHeight="1" x14ac:dyDescent="0.35">
      <c r="AH861" s="3"/>
      <c r="AJ861" s="3"/>
      <c r="AK861" s="3"/>
      <c r="AL861" s="3"/>
    </row>
    <row r="862" spans="34:38" ht="14.25" customHeight="1" x14ac:dyDescent="0.35">
      <c r="AH862" s="3"/>
      <c r="AJ862" s="3"/>
      <c r="AK862" s="3"/>
      <c r="AL862" s="3"/>
    </row>
    <row r="863" spans="34:38" ht="14.25" customHeight="1" x14ac:dyDescent="0.35">
      <c r="AH863" s="3"/>
      <c r="AJ863" s="3"/>
      <c r="AK863" s="3"/>
      <c r="AL863" s="3"/>
    </row>
    <row r="864" spans="34:38" ht="14.25" customHeight="1" x14ac:dyDescent="0.35">
      <c r="AH864" s="3"/>
      <c r="AJ864" s="3"/>
      <c r="AK864" s="3"/>
      <c r="AL864" s="3"/>
    </row>
    <row r="865" spans="34:38" ht="14.25" customHeight="1" x14ac:dyDescent="0.35">
      <c r="AH865" s="3"/>
      <c r="AJ865" s="3"/>
      <c r="AK865" s="3"/>
      <c r="AL865" s="3"/>
    </row>
    <row r="866" spans="34:38" ht="14.25" customHeight="1" x14ac:dyDescent="0.35">
      <c r="AH866" s="3"/>
      <c r="AJ866" s="3"/>
      <c r="AK866" s="3"/>
      <c r="AL866" s="3"/>
    </row>
    <row r="867" spans="34:38" ht="14.25" customHeight="1" x14ac:dyDescent="0.35">
      <c r="AH867" s="3"/>
      <c r="AJ867" s="3"/>
      <c r="AK867" s="3"/>
      <c r="AL867" s="3"/>
    </row>
    <row r="868" spans="34:38" ht="14.25" customHeight="1" x14ac:dyDescent="0.35">
      <c r="AH868" s="3"/>
      <c r="AJ868" s="3"/>
      <c r="AK868" s="3"/>
      <c r="AL868" s="3"/>
    </row>
    <row r="869" spans="34:38" ht="14.25" customHeight="1" x14ac:dyDescent="0.35">
      <c r="AH869" s="3"/>
      <c r="AJ869" s="3"/>
      <c r="AK869" s="3"/>
      <c r="AL869" s="3"/>
    </row>
    <row r="870" spans="34:38" ht="14.25" customHeight="1" x14ac:dyDescent="0.35">
      <c r="AH870" s="3"/>
      <c r="AJ870" s="3"/>
      <c r="AK870" s="3"/>
      <c r="AL870" s="3"/>
    </row>
    <row r="871" spans="34:38" ht="14.25" customHeight="1" x14ac:dyDescent="0.35">
      <c r="AH871" s="3"/>
      <c r="AJ871" s="3"/>
      <c r="AK871" s="3"/>
      <c r="AL871" s="3"/>
    </row>
    <row r="872" spans="34:38" ht="14.25" customHeight="1" x14ac:dyDescent="0.35">
      <c r="AH872" s="3"/>
      <c r="AJ872" s="3"/>
      <c r="AK872" s="3"/>
      <c r="AL872" s="3"/>
    </row>
    <row r="873" spans="34:38" ht="14.25" customHeight="1" x14ac:dyDescent="0.35">
      <c r="AH873" s="3"/>
      <c r="AJ873" s="3"/>
      <c r="AK873" s="3"/>
      <c r="AL873" s="3"/>
    </row>
    <row r="874" spans="34:38" ht="14.25" customHeight="1" x14ac:dyDescent="0.35">
      <c r="AH874" s="3"/>
      <c r="AJ874" s="3"/>
      <c r="AK874" s="3"/>
      <c r="AL874" s="3"/>
    </row>
    <row r="875" spans="34:38" ht="14.25" customHeight="1" x14ac:dyDescent="0.35">
      <c r="AH875" s="3"/>
      <c r="AJ875" s="3"/>
      <c r="AK875" s="3"/>
      <c r="AL875" s="3"/>
    </row>
    <row r="876" spans="34:38" ht="14.25" customHeight="1" x14ac:dyDescent="0.35">
      <c r="AH876" s="3"/>
      <c r="AJ876" s="3"/>
      <c r="AK876" s="3"/>
      <c r="AL876" s="3"/>
    </row>
    <row r="877" spans="34:38" ht="14.25" customHeight="1" x14ac:dyDescent="0.35">
      <c r="AH877" s="3"/>
      <c r="AJ877" s="3"/>
      <c r="AK877" s="3"/>
      <c r="AL877" s="3"/>
    </row>
    <row r="878" spans="34:38" ht="14.25" customHeight="1" x14ac:dyDescent="0.35">
      <c r="AH878" s="3"/>
      <c r="AJ878" s="3"/>
      <c r="AK878" s="3"/>
      <c r="AL878" s="3"/>
    </row>
    <row r="879" spans="34:38" ht="14.25" customHeight="1" x14ac:dyDescent="0.35">
      <c r="AH879" s="3"/>
      <c r="AJ879" s="3"/>
      <c r="AK879" s="3"/>
      <c r="AL879" s="3"/>
    </row>
    <row r="880" spans="34:38" ht="14.25" customHeight="1" x14ac:dyDescent="0.35">
      <c r="AH880" s="3"/>
      <c r="AJ880" s="3"/>
      <c r="AK880" s="3"/>
      <c r="AL880" s="3"/>
    </row>
    <row r="881" spans="34:38" ht="14.25" customHeight="1" x14ac:dyDescent="0.35">
      <c r="AH881" s="3"/>
      <c r="AJ881" s="3"/>
      <c r="AK881" s="3"/>
      <c r="AL881" s="3"/>
    </row>
    <row r="882" spans="34:38" ht="14.25" customHeight="1" x14ac:dyDescent="0.35">
      <c r="AH882" s="3"/>
      <c r="AJ882" s="3"/>
      <c r="AK882" s="3"/>
      <c r="AL882" s="3"/>
    </row>
    <row r="883" spans="34:38" ht="14.25" customHeight="1" x14ac:dyDescent="0.35">
      <c r="AH883" s="3"/>
      <c r="AJ883" s="3"/>
      <c r="AK883" s="3"/>
      <c r="AL883" s="3"/>
    </row>
    <row r="884" spans="34:38" ht="14.25" customHeight="1" x14ac:dyDescent="0.35">
      <c r="AH884" s="3"/>
      <c r="AJ884" s="3"/>
      <c r="AK884" s="3"/>
      <c r="AL884" s="3"/>
    </row>
    <row r="885" spans="34:38" ht="14.25" customHeight="1" x14ac:dyDescent="0.35">
      <c r="AH885" s="3"/>
      <c r="AJ885" s="3"/>
      <c r="AK885" s="3"/>
      <c r="AL885" s="3"/>
    </row>
    <row r="886" spans="34:38" ht="14.25" customHeight="1" x14ac:dyDescent="0.35">
      <c r="AH886" s="3"/>
      <c r="AJ886" s="3"/>
      <c r="AK886" s="3"/>
      <c r="AL886" s="3"/>
    </row>
    <row r="887" spans="34:38" ht="14.25" customHeight="1" x14ac:dyDescent="0.35">
      <c r="AH887" s="3"/>
      <c r="AJ887" s="3"/>
      <c r="AK887" s="3"/>
      <c r="AL887" s="3"/>
    </row>
    <row r="888" spans="34:38" ht="14.25" customHeight="1" x14ac:dyDescent="0.35">
      <c r="AH888" s="3"/>
      <c r="AJ888" s="3"/>
      <c r="AK888" s="3"/>
      <c r="AL888" s="3"/>
    </row>
    <row r="889" spans="34:38" ht="14.25" customHeight="1" x14ac:dyDescent="0.35">
      <c r="AH889" s="3"/>
      <c r="AJ889" s="3"/>
      <c r="AK889" s="3"/>
      <c r="AL889" s="3"/>
    </row>
    <row r="890" spans="34:38" ht="14.25" customHeight="1" x14ac:dyDescent="0.35">
      <c r="AH890" s="3"/>
      <c r="AJ890" s="3"/>
      <c r="AK890" s="3"/>
      <c r="AL890" s="3"/>
    </row>
    <row r="891" spans="34:38" ht="14.25" customHeight="1" x14ac:dyDescent="0.35">
      <c r="AH891" s="3"/>
      <c r="AJ891" s="3"/>
      <c r="AK891" s="3"/>
      <c r="AL891" s="3"/>
    </row>
    <row r="892" spans="34:38" ht="14.25" customHeight="1" x14ac:dyDescent="0.35">
      <c r="AH892" s="3"/>
      <c r="AJ892" s="3"/>
      <c r="AK892" s="3"/>
      <c r="AL892" s="3"/>
    </row>
    <row r="893" spans="34:38" ht="14.25" customHeight="1" x14ac:dyDescent="0.35">
      <c r="AH893" s="3"/>
      <c r="AJ893" s="3"/>
      <c r="AK893" s="3"/>
      <c r="AL893" s="3"/>
    </row>
    <row r="894" spans="34:38" ht="14.25" customHeight="1" x14ac:dyDescent="0.35">
      <c r="AH894" s="3"/>
      <c r="AJ894" s="3"/>
      <c r="AK894" s="3"/>
      <c r="AL894" s="3"/>
    </row>
    <row r="895" spans="34:38" ht="14.25" customHeight="1" x14ac:dyDescent="0.35">
      <c r="AH895" s="3"/>
      <c r="AJ895" s="3"/>
      <c r="AK895" s="3"/>
      <c r="AL895" s="3"/>
    </row>
    <row r="896" spans="34:38" ht="14.25" customHeight="1" x14ac:dyDescent="0.35">
      <c r="AH896" s="3"/>
      <c r="AJ896" s="3"/>
      <c r="AK896" s="3"/>
      <c r="AL896" s="3"/>
    </row>
    <row r="897" spans="34:38" ht="14.25" customHeight="1" x14ac:dyDescent="0.35">
      <c r="AH897" s="3"/>
      <c r="AJ897" s="3"/>
      <c r="AK897" s="3"/>
      <c r="AL897" s="3"/>
    </row>
    <row r="898" spans="34:38" ht="14.25" customHeight="1" x14ac:dyDescent="0.35">
      <c r="AH898" s="3"/>
      <c r="AJ898" s="3"/>
      <c r="AK898" s="3"/>
      <c r="AL898" s="3"/>
    </row>
    <row r="899" spans="34:38" ht="14.25" customHeight="1" x14ac:dyDescent="0.35">
      <c r="AH899" s="3"/>
      <c r="AJ899" s="3"/>
      <c r="AK899" s="3"/>
      <c r="AL899" s="3"/>
    </row>
    <row r="900" spans="34:38" ht="14.25" customHeight="1" x14ac:dyDescent="0.35">
      <c r="AH900" s="3"/>
      <c r="AJ900" s="3"/>
      <c r="AK900" s="3"/>
      <c r="AL900" s="3"/>
    </row>
    <row r="901" spans="34:38" ht="14.25" customHeight="1" x14ac:dyDescent="0.35">
      <c r="AH901" s="3"/>
      <c r="AJ901" s="3"/>
      <c r="AK901" s="3"/>
      <c r="AL901" s="3"/>
    </row>
    <row r="902" spans="34:38" ht="14.25" customHeight="1" x14ac:dyDescent="0.35">
      <c r="AH902" s="3"/>
      <c r="AJ902" s="3"/>
      <c r="AK902" s="3"/>
      <c r="AL902" s="3"/>
    </row>
    <row r="903" spans="34:38" ht="14.25" customHeight="1" x14ac:dyDescent="0.35">
      <c r="AH903" s="3"/>
      <c r="AJ903" s="3"/>
      <c r="AK903" s="3"/>
      <c r="AL903" s="3"/>
    </row>
    <row r="904" spans="34:38" ht="14.25" customHeight="1" x14ac:dyDescent="0.35">
      <c r="AH904" s="3"/>
      <c r="AJ904" s="3"/>
      <c r="AK904" s="3"/>
      <c r="AL904" s="3"/>
    </row>
    <row r="905" spans="34:38" ht="14.25" customHeight="1" x14ac:dyDescent="0.35">
      <c r="AH905" s="3"/>
      <c r="AJ905" s="3"/>
      <c r="AK905" s="3"/>
      <c r="AL905" s="3"/>
    </row>
    <row r="906" spans="34:38" ht="14.25" customHeight="1" x14ac:dyDescent="0.35">
      <c r="AH906" s="3"/>
      <c r="AJ906" s="3"/>
      <c r="AK906" s="3"/>
      <c r="AL906" s="3"/>
    </row>
    <row r="907" spans="34:38" ht="14.25" customHeight="1" x14ac:dyDescent="0.35">
      <c r="AH907" s="3"/>
      <c r="AJ907" s="3"/>
      <c r="AK907" s="3"/>
      <c r="AL907" s="3"/>
    </row>
    <row r="908" spans="34:38" ht="14.25" customHeight="1" x14ac:dyDescent="0.35">
      <c r="AH908" s="3"/>
      <c r="AJ908" s="3"/>
      <c r="AK908" s="3"/>
      <c r="AL908" s="3"/>
    </row>
    <row r="909" spans="34:38" ht="14.25" customHeight="1" x14ac:dyDescent="0.35">
      <c r="AH909" s="3"/>
      <c r="AJ909" s="3"/>
      <c r="AK909" s="3"/>
      <c r="AL909" s="3"/>
    </row>
    <row r="910" spans="34:38" ht="14.25" customHeight="1" x14ac:dyDescent="0.35">
      <c r="AH910" s="3"/>
      <c r="AJ910" s="3"/>
      <c r="AK910" s="3"/>
      <c r="AL910" s="3"/>
    </row>
    <row r="911" spans="34:38" ht="14.25" customHeight="1" x14ac:dyDescent="0.35">
      <c r="AH911" s="3"/>
      <c r="AJ911" s="3"/>
      <c r="AK911" s="3"/>
      <c r="AL911" s="3"/>
    </row>
    <row r="912" spans="34:38" ht="14.25" customHeight="1" x14ac:dyDescent="0.35">
      <c r="AH912" s="3"/>
      <c r="AJ912" s="3"/>
      <c r="AK912" s="3"/>
      <c r="AL912" s="3"/>
    </row>
    <row r="913" spans="34:38" ht="14.25" customHeight="1" x14ac:dyDescent="0.35">
      <c r="AH913" s="3"/>
      <c r="AJ913" s="3"/>
      <c r="AK913" s="3"/>
      <c r="AL913" s="3"/>
    </row>
    <row r="914" spans="34:38" ht="14.25" customHeight="1" x14ac:dyDescent="0.35">
      <c r="AH914" s="3"/>
      <c r="AJ914" s="3"/>
      <c r="AK914" s="3"/>
      <c r="AL914" s="3"/>
    </row>
    <row r="915" spans="34:38" ht="14.25" customHeight="1" x14ac:dyDescent="0.35">
      <c r="AH915" s="3"/>
      <c r="AJ915" s="3"/>
      <c r="AK915" s="3"/>
      <c r="AL915" s="3"/>
    </row>
    <row r="916" spans="34:38" ht="14.25" customHeight="1" x14ac:dyDescent="0.35">
      <c r="AH916" s="3"/>
      <c r="AJ916" s="3"/>
      <c r="AK916" s="3"/>
      <c r="AL916" s="3"/>
    </row>
    <row r="917" spans="34:38" ht="14.25" customHeight="1" x14ac:dyDescent="0.35">
      <c r="AH917" s="3"/>
      <c r="AJ917" s="3"/>
      <c r="AK917" s="3"/>
      <c r="AL917" s="3"/>
    </row>
    <row r="918" spans="34:38" ht="14.25" customHeight="1" x14ac:dyDescent="0.35">
      <c r="AH918" s="3"/>
      <c r="AJ918" s="3"/>
      <c r="AK918" s="3"/>
      <c r="AL918" s="3"/>
    </row>
    <row r="919" spans="34:38" ht="14.25" customHeight="1" x14ac:dyDescent="0.35">
      <c r="AH919" s="3"/>
      <c r="AJ919" s="3"/>
      <c r="AK919" s="3"/>
      <c r="AL919" s="3"/>
    </row>
    <row r="920" spans="34:38" ht="14.25" customHeight="1" x14ac:dyDescent="0.35">
      <c r="AH920" s="3"/>
      <c r="AJ920" s="3"/>
      <c r="AK920" s="3"/>
      <c r="AL920" s="3"/>
    </row>
    <row r="921" spans="34:38" ht="14.25" customHeight="1" x14ac:dyDescent="0.35">
      <c r="AH921" s="3"/>
      <c r="AJ921" s="3"/>
      <c r="AK921" s="3"/>
      <c r="AL921" s="3"/>
    </row>
    <row r="922" spans="34:38" ht="14.25" customHeight="1" x14ac:dyDescent="0.35">
      <c r="AH922" s="3"/>
      <c r="AJ922" s="3"/>
      <c r="AK922" s="3"/>
      <c r="AL922" s="3"/>
    </row>
    <row r="923" spans="34:38" ht="14.25" customHeight="1" x14ac:dyDescent="0.35">
      <c r="AH923" s="3"/>
      <c r="AJ923" s="3"/>
      <c r="AK923" s="3"/>
      <c r="AL923" s="3"/>
    </row>
    <row r="924" spans="34:38" ht="14.25" customHeight="1" x14ac:dyDescent="0.35">
      <c r="AH924" s="3"/>
      <c r="AJ924" s="3"/>
      <c r="AK924" s="3"/>
      <c r="AL924" s="3"/>
    </row>
    <row r="925" spans="34:38" ht="14.25" customHeight="1" x14ac:dyDescent="0.35">
      <c r="AH925" s="3"/>
      <c r="AJ925" s="3"/>
      <c r="AK925" s="3"/>
      <c r="AL925" s="3"/>
    </row>
    <row r="926" spans="34:38" ht="14.25" customHeight="1" x14ac:dyDescent="0.35">
      <c r="AH926" s="3"/>
      <c r="AJ926" s="3"/>
      <c r="AK926" s="3"/>
      <c r="AL926" s="3"/>
    </row>
    <row r="927" spans="34:38" ht="14.25" customHeight="1" x14ac:dyDescent="0.35">
      <c r="AH927" s="3"/>
      <c r="AJ927" s="3"/>
      <c r="AK927" s="3"/>
      <c r="AL927" s="3"/>
    </row>
    <row r="928" spans="34:38" ht="14.25" customHeight="1" x14ac:dyDescent="0.35">
      <c r="AH928" s="3"/>
      <c r="AJ928" s="3"/>
      <c r="AK928" s="3"/>
      <c r="AL928" s="3"/>
    </row>
    <row r="929" spans="34:38" ht="14.25" customHeight="1" x14ac:dyDescent="0.35">
      <c r="AH929" s="3"/>
      <c r="AJ929" s="3"/>
      <c r="AK929" s="3"/>
      <c r="AL929" s="3"/>
    </row>
    <row r="930" spans="34:38" ht="14.25" customHeight="1" x14ac:dyDescent="0.35">
      <c r="AH930" s="3"/>
      <c r="AJ930" s="3"/>
      <c r="AK930" s="3"/>
      <c r="AL930" s="3"/>
    </row>
    <row r="931" spans="34:38" ht="14.25" customHeight="1" x14ac:dyDescent="0.35">
      <c r="AH931" s="3"/>
      <c r="AJ931" s="3"/>
      <c r="AK931" s="3"/>
      <c r="AL931" s="3"/>
    </row>
    <row r="932" spans="34:38" ht="14.25" customHeight="1" x14ac:dyDescent="0.35">
      <c r="AH932" s="3"/>
      <c r="AJ932" s="3"/>
      <c r="AK932" s="3"/>
      <c r="AL932" s="3"/>
    </row>
    <row r="933" spans="34:38" ht="14.25" customHeight="1" x14ac:dyDescent="0.35">
      <c r="AH933" s="3"/>
      <c r="AJ933" s="3"/>
      <c r="AK933" s="3"/>
      <c r="AL933" s="3"/>
    </row>
    <row r="934" spans="34:38" ht="14.25" customHeight="1" x14ac:dyDescent="0.35">
      <c r="AH934" s="3"/>
      <c r="AJ934" s="3"/>
      <c r="AK934" s="3"/>
      <c r="AL934" s="3"/>
    </row>
    <row r="935" spans="34:38" ht="14.25" customHeight="1" x14ac:dyDescent="0.35">
      <c r="AH935" s="3"/>
      <c r="AJ935" s="3"/>
      <c r="AK935" s="3"/>
      <c r="AL935" s="3"/>
    </row>
    <row r="936" spans="34:38" ht="14.25" customHeight="1" x14ac:dyDescent="0.35">
      <c r="AH936" s="3"/>
      <c r="AJ936" s="3"/>
      <c r="AK936" s="3"/>
      <c r="AL936" s="3"/>
    </row>
    <row r="937" spans="34:38" ht="14.25" customHeight="1" x14ac:dyDescent="0.35">
      <c r="AH937" s="3"/>
      <c r="AJ937" s="3"/>
      <c r="AK937" s="3"/>
      <c r="AL937" s="3"/>
    </row>
    <row r="938" spans="34:38" ht="14.25" customHeight="1" x14ac:dyDescent="0.35">
      <c r="AH938" s="3"/>
      <c r="AJ938" s="3"/>
      <c r="AK938" s="3"/>
      <c r="AL938" s="3"/>
    </row>
    <row r="939" spans="34:38" ht="14.25" customHeight="1" x14ac:dyDescent="0.35">
      <c r="AH939" s="3"/>
      <c r="AJ939" s="3"/>
      <c r="AK939" s="3"/>
      <c r="AL939" s="3"/>
    </row>
    <row r="940" spans="34:38" ht="14.25" customHeight="1" x14ac:dyDescent="0.35">
      <c r="AH940" s="3"/>
      <c r="AJ940" s="3"/>
      <c r="AK940" s="3"/>
      <c r="AL940" s="3"/>
    </row>
    <row r="941" spans="34:38" ht="14.25" customHeight="1" x14ac:dyDescent="0.35">
      <c r="AH941" s="3"/>
      <c r="AJ941" s="3"/>
      <c r="AK941" s="3"/>
      <c r="AL941" s="3"/>
    </row>
    <row r="942" spans="34:38" ht="14.25" customHeight="1" x14ac:dyDescent="0.35">
      <c r="AH942" s="3"/>
      <c r="AJ942" s="3"/>
      <c r="AK942" s="3"/>
      <c r="AL942" s="3"/>
    </row>
    <row r="943" spans="34:38" ht="14.25" customHeight="1" x14ac:dyDescent="0.35">
      <c r="AH943" s="3"/>
      <c r="AJ943" s="3"/>
      <c r="AK943" s="3"/>
      <c r="AL943" s="3"/>
    </row>
    <row r="944" spans="34:38" ht="14.25" customHeight="1" x14ac:dyDescent="0.35">
      <c r="AH944" s="3"/>
      <c r="AJ944" s="3"/>
      <c r="AK944" s="3"/>
      <c r="AL944" s="3"/>
    </row>
    <row r="945" spans="34:38" ht="14.25" customHeight="1" x14ac:dyDescent="0.35">
      <c r="AH945" s="3"/>
      <c r="AJ945" s="3"/>
      <c r="AK945" s="3"/>
      <c r="AL945" s="3"/>
    </row>
    <row r="946" spans="34:38" ht="14.25" customHeight="1" x14ac:dyDescent="0.35">
      <c r="AH946" s="3"/>
      <c r="AJ946" s="3"/>
      <c r="AK946" s="3"/>
      <c r="AL946" s="3"/>
    </row>
    <row r="947" spans="34:38" ht="14.25" customHeight="1" x14ac:dyDescent="0.35">
      <c r="AH947" s="3"/>
      <c r="AJ947" s="3"/>
      <c r="AK947" s="3"/>
      <c r="AL947" s="3"/>
    </row>
    <row r="948" spans="34:38" ht="14.25" customHeight="1" x14ac:dyDescent="0.35">
      <c r="AH948" s="3"/>
      <c r="AJ948" s="3"/>
      <c r="AK948" s="3"/>
      <c r="AL948" s="3"/>
    </row>
    <row r="949" spans="34:38" ht="14.25" customHeight="1" x14ac:dyDescent="0.35">
      <c r="AH949" s="3"/>
      <c r="AJ949" s="3"/>
      <c r="AK949" s="3"/>
      <c r="AL949" s="3"/>
    </row>
    <row r="950" spans="34:38" ht="14.25" customHeight="1" x14ac:dyDescent="0.35">
      <c r="AH950" s="3"/>
      <c r="AJ950" s="3"/>
      <c r="AK950" s="3"/>
      <c r="AL950" s="3"/>
    </row>
    <row r="951" spans="34:38" ht="14.25" customHeight="1" x14ac:dyDescent="0.35">
      <c r="AH951" s="3"/>
      <c r="AJ951" s="3"/>
      <c r="AK951" s="3"/>
      <c r="AL951" s="3"/>
    </row>
    <row r="952" spans="34:38" ht="14.25" customHeight="1" x14ac:dyDescent="0.35">
      <c r="AH952" s="3"/>
      <c r="AJ952" s="3"/>
      <c r="AK952" s="3"/>
      <c r="AL952" s="3"/>
    </row>
    <row r="953" spans="34:38" ht="14.25" customHeight="1" x14ac:dyDescent="0.35">
      <c r="AH953" s="3"/>
      <c r="AJ953" s="3"/>
      <c r="AK953" s="3"/>
      <c r="AL953" s="3"/>
    </row>
    <row r="954" spans="34:38" ht="14.25" customHeight="1" x14ac:dyDescent="0.35">
      <c r="AH954" s="3"/>
      <c r="AJ954" s="3"/>
      <c r="AK954" s="3"/>
      <c r="AL954" s="3"/>
    </row>
    <row r="955" spans="34:38" ht="14.25" customHeight="1" x14ac:dyDescent="0.35">
      <c r="AH955" s="3"/>
      <c r="AJ955" s="3"/>
      <c r="AK955" s="3"/>
      <c r="AL955" s="3"/>
    </row>
    <row r="956" spans="34:38" ht="14.25" customHeight="1" x14ac:dyDescent="0.35">
      <c r="AH956" s="3"/>
      <c r="AJ956" s="3"/>
      <c r="AK956" s="3"/>
      <c r="AL956" s="3"/>
    </row>
    <row r="957" spans="34:38" ht="14.25" customHeight="1" x14ac:dyDescent="0.35">
      <c r="AH957" s="3"/>
      <c r="AJ957" s="3"/>
      <c r="AK957" s="3"/>
      <c r="AL957" s="3"/>
    </row>
    <row r="958" spans="34:38" ht="14.25" customHeight="1" x14ac:dyDescent="0.35">
      <c r="AH958" s="3"/>
      <c r="AJ958" s="3"/>
      <c r="AK958" s="3"/>
      <c r="AL958" s="3"/>
    </row>
    <row r="959" spans="34:38" ht="14.25" customHeight="1" x14ac:dyDescent="0.35">
      <c r="AH959" s="3"/>
      <c r="AJ959" s="3"/>
      <c r="AK959" s="3"/>
      <c r="AL959" s="3"/>
    </row>
    <row r="960" spans="34:38" ht="14.25" customHeight="1" x14ac:dyDescent="0.35">
      <c r="AH960" s="3"/>
      <c r="AJ960" s="3"/>
      <c r="AK960" s="3"/>
      <c r="AL960" s="3"/>
    </row>
    <row r="961" spans="34:38" ht="14.25" customHeight="1" x14ac:dyDescent="0.35">
      <c r="AH961" s="3"/>
      <c r="AJ961" s="3"/>
      <c r="AK961" s="3"/>
      <c r="AL961" s="3"/>
    </row>
    <row r="962" spans="34:38" ht="14.25" customHeight="1" x14ac:dyDescent="0.35">
      <c r="AH962" s="3"/>
      <c r="AJ962" s="3"/>
      <c r="AK962" s="3"/>
      <c r="AL962" s="3"/>
    </row>
    <row r="963" spans="34:38" ht="14.25" customHeight="1" x14ac:dyDescent="0.35">
      <c r="AH963" s="3"/>
      <c r="AJ963" s="3"/>
      <c r="AK963" s="3"/>
      <c r="AL963" s="3"/>
    </row>
    <row r="964" spans="34:38" ht="14.25" customHeight="1" x14ac:dyDescent="0.35">
      <c r="AH964" s="3"/>
      <c r="AJ964" s="3"/>
      <c r="AK964" s="3"/>
      <c r="AL964" s="3"/>
    </row>
    <row r="965" spans="34:38" ht="14.25" customHeight="1" x14ac:dyDescent="0.35">
      <c r="AH965" s="3"/>
      <c r="AJ965" s="3"/>
      <c r="AK965" s="3"/>
      <c r="AL965" s="3"/>
    </row>
    <row r="966" spans="34:38" ht="14.25" customHeight="1" x14ac:dyDescent="0.35">
      <c r="AH966" s="3"/>
      <c r="AJ966" s="3"/>
      <c r="AK966" s="3"/>
      <c r="AL966" s="3"/>
    </row>
    <row r="967" spans="34:38" ht="14.25" customHeight="1" x14ac:dyDescent="0.35">
      <c r="AH967" s="3"/>
      <c r="AJ967" s="3"/>
      <c r="AK967" s="3"/>
      <c r="AL967" s="3"/>
    </row>
    <row r="968" spans="34:38" ht="14.25" customHeight="1" x14ac:dyDescent="0.35">
      <c r="AH968" s="3"/>
      <c r="AJ968" s="3"/>
      <c r="AK968" s="3"/>
      <c r="AL968" s="3"/>
    </row>
    <row r="969" spans="34:38" ht="14.25" customHeight="1" x14ac:dyDescent="0.35">
      <c r="AH969" s="3"/>
      <c r="AJ969" s="3"/>
      <c r="AK969" s="3"/>
      <c r="AL969" s="3"/>
    </row>
    <row r="970" spans="34:38" ht="14.25" customHeight="1" x14ac:dyDescent="0.35">
      <c r="AH970" s="3"/>
      <c r="AJ970" s="3"/>
      <c r="AK970" s="3"/>
      <c r="AL970" s="3"/>
    </row>
    <row r="971" spans="34:38" ht="14.25" customHeight="1" x14ac:dyDescent="0.35">
      <c r="AH971" s="3"/>
      <c r="AJ971" s="3"/>
      <c r="AK971" s="3"/>
      <c r="AL971" s="3"/>
    </row>
    <row r="972" spans="34:38" ht="14.25" customHeight="1" x14ac:dyDescent="0.35">
      <c r="AH972" s="3"/>
      <c r="AJ972" s="3"/>
      <c r="AK972" s="3"/>
      <c r="AL972" s="3"/>
    </row>
    <row r="973" spans="34:38" ht="14.25" customHeight="1" x14ac:dyDescent="0.35">
      <c r="AH973" s="3"/>
      <c r="AJ973" s="3"/>
      <c r="AK973" s="3"/>
      <c r="AL973" s="3"/>
    </row>
    <row r="974" spans="34:38" ht="14.25" customHeight="1" x14ac:dyDescent="0.35">
      <c r="AH974" s="3"/>
      <c r="AJ974" s="3"/>
      <c r="AK974" s="3"/>
      <c r="AL974" s="3"/>
    </row>
    <row r="975" spans="34:38" ht="14.25" customHeight="1" x14ac:dyDescent="0.35">
      <c r="AH975" s="3"/>
      <c r="AJ975" s="3"/>
      <c r="AK975" s="3"/>
      <c r="AL975" s="3"/>
    </row>
    <row r="976" spans="34:38" ht="14.25" customHeight="1" x14ac:dyDescent="0.35">
      <c r="AH976" s="3"/>
      <c r="AJ976" s="3"/>
      <c r="AK976" s="3"/>
      <c r="AL976" s="3"/>
    </row>
    <row r="977" spans="34:38" ht="14.25" customHeight="1" x14ac:dyDescent="0.35">
      <c r="AH977" s="3"/>
      <c r="AJ977" s="3"/>
      <c r="AK977" s="3"/>
      <c r="AL977" s="3"/>
    </row>
    <row r="978" spans="34:38" ht="14.25" customHeight="1" x14ac:dyDescent="0.35">
      <c r="AH978" s="3"/>
      <c r="AJ978" s="3"/>
      <c r="AK978" s="3"/>
      <c r="AL978" s="3"/>
    </row>
    <row r="979" spans="34:38" ht="14.25" customHeight="1" x14ac:dyDescent="0.35">
      <c r="AH979" s="3"/>
      <c r="AJ979" s="3"/>
      <c r="AK979" s="3"/>
      <c r="AL979" s="3"/>
    </row>
    <row r="980" spans="34:38" ht="14.25" customHeight="1" x14ac:dyDescent="0.35">
      <c r="AH980" s="3"/>
      <c r="AJ980" s="3"/>
      <c r="AK980" s="3"/>
      <c r="AL980" s="3"/>
    </row>
    <row r="981" spans="34:38" ht="14.25" customHeight="1" x14ac:dyDescent="0.35">
      <c r="AH981" s="3"/>
      <c r="AJ981" s="3"/>
      <c r="AK981" s="3"/>
      <c r="AL981" s="3"/>
    </row>
    <row r="982" spans="34:38" ht="14.25" customHeight="1" x14ac:dyDescent="0.35">
      <c r="AH982" s="3"/>
      <c r="AJ982" s="3"/>
      <c r="AK982" s="3"/>
      <c r="AL982" s="3"/>
    </row>
    <row r="983" spans="34:38" ht="14.25" customHeight="1" x14ac:dyDescent="0.35">
      <c r="AH983" s="3"/>
      <c r="AJ983" s="3"/>
      <c r="AK983" s="3"/>
      <c r="AL983" s="3"/>
    </row>
    <row r="984" spans="34:38" ht="14.25" customHeight="1" x14ac:dyDescent="0.35">
      <c r="AH984" s="3"/>
      <c r="AJ984" s="3"/>
      <c r="AK984" s="3"/>
      <c r="AL984" s="3"/>
    </row>
    <row r="985" spans="34:38" ht="14.25" customHeight="1" x14ac:dyDescent="0.35">
      <c r="AH985" s="3"/>
      <c r="AJ985" s="3"/>
      <c r="AK985" s="3"/>
      <c r="AL985" s="3"/>
    </row>
    <row r="986" spans="34:38" ht="14.25" customHeight="1" x14ac:dyDescent="0.35">
      <c r="AH986" s="3"/>
      <c r="AJ986" s="3"/>
      <c r="AK986" s="3"/>
      <c r="AL986" s="3"/>
    </row>
    <row r="987" spans="34:38" ht="14.25" customHeight="1" x14ac:dyDescent="0.35">
      <c r="AH987" s="3"/>
      <c r="AJ987" s="3"/>
      <c r="AK987" s="3"/>
      <c r="AL987" s="3"/>
    </row>
    <row r="988" spans="34:38" ht="14.25" customHeight="1" x14ac:dyDescent="0.35">
      <c r="AH988" s="3"/>
      <c r="AJ988" s="3"/>
      <c r="AK988" s="3"/>
      <c r="AL988" s="3"/>
    </row>
    <row r="989" spans="34:38" ht="14.25" customHeight="1" x14ac:dyDescent="0.35">
      <c r="AH989" s="3"/>
      <c r="AJ989" s="3"/>
      <c r="AK989" s="3"/>
      <c r="AL989" s="3"/>
    </row>
    <row r="990" spans="34:38" ht="14.25" customHeight="1" x14ac:dyDescent="0.35">
      <c r="AH990" s="3"/>
      <c r="AJ990" s="3"/>
      <c r="AK990" s="3"/>
      <c r="AL990" s="3"/>
    </row>
    <row r="991" spans="34:38" ht="14.25" customHeight="1" x14ac:dyDescent="0.35">
      <c r="AH991" s="3"/>
      <c r="AJ991" s="3"/>
      <c r="AK991" s="3"/>
      <c r="AL991" s="3"/>
    </row>
    <row r="992" spans="34:38" ht="14.25" customHeight="1" x14ac:dyDescent="0.35">
      <c r="AH992" s="3"/>
      <c r="AJ992" s="3"/>
      <c r="AK992" s="3"/>
      <c r="AL992" s="3"/>
    </row>
    <row r="993" spans="34:38" ht="14.25" customHeight="1" x14ac:dyDescent="0.35">
      <c r="AH993" s="3"/>
      <c r="AJ993" s="3"/>
      <c r="AK993" s="3"/>
      <c r="AL993" s="3"/>
    </row>
    <row r="994" spans="34:38" ht="14.25" customHeight="1" x14ac:dyDescent="0.35">
      <c r="AH994" s="3"/>
      <c r="AJ994" s="3"/>
      <c r="AK994" s="3"/>
      <c r="AL994" s="3"/>
    </row>
    <row r="995" spans="34:38" ht="14.25" customHeight="1" x14ac:dyDescent="0.35">
      <c r="AH995" s="3"/>
      <c r="AJ995" s="3"/>
      <c r="AK995" s="3"/>
      <c r="AL995" s="3"/>
    </row>
    <row r="996" spans="34:38" ht="14.25" customHeight="1" x14ac:dyDescent="0.35">
      <c r="AH996" s="3"/>
      <c r="AJ996" s="3"/>
      <c r="AK996" s="3"/>
      <c r="AL996" s="3"/>
    </row>
    <row r="997" spans="34:38" ht="14.25" customHeight="1" x14ac:dyDescent="0.35">
      <c r="AH997" s="3"/>
      <c r="AJ997" s="3"/>
      <c r="AK997" s="3"/>
      <c r="AL997" s="3"/>
    </row>
    <row r="998" spans="34:38" ht="14.25" customHeight="1" x14ac:dyDescent="0.35">
      <c r="AH998" s="3"/>
      <c r="AJ998" s="3"/>
      <c r="AK998" s="3"/>
      <c r="AL998" s="3"/>
    </row>
    <row r="999" spans="34:38" ht="14.25" customHeight="1" x14ac:dyDescent="0.35">
      <c r="AH999" s="3"/>
      <c r="AJ999" s="3"/>
      <c r="AK999" s="3"/>
      <c r="AL999" s="3"/>
    </row>
    <row r="1000" spans="34:38" ht="14.25" customHeight="1" x14ac:dyDescent="0.35">
      <c r="AH1000" s="3"/>
      <c r="AJ1000" s="3"/>
      <c r="AK1000" s="3"/>
      <c r="AL1000" s="3"/>
    </row>
  </sheetData>
  <mergeCells count="198">
    <mergeCell ref="W54:X54"/>
    <mergeCell ref="Y54:Z54"/>
    <mergeCell ref="AA54:AB54"/>
    <mergeCell ref="AC54:AD54"/>
    <mergeCell ref="I54:J54"/>
    <mergeCell ref="K54:L54"/>
    <mergeCell ref="M54:N54"/>
    <mergeCell ref="O54:P54"/>
    <mergeCell ref="Q54:R54"/>
    <mergeCell ref="S54:T54"/>
    <mergeCell ref="U54:V54"/>
    <mergeCell ref="W53:X53"/>
    <mergeCell ref="Y53:Z53"/>
    <mergeCell ref="AA53:AB53"/>
    <mergeCell ref="AC53:AD53"/>
    <mergeCell ref="I53:J53"/>
    <mergeCell ref="K53:L53"/>
    <mergeCell ref="M53:N53"/>
    <mergeCell ref="O53:P53"/>
    <mergeCell ref="Q53:R53"/>
    <mergeCell ref="S53:T53"/>
    <mergeCell ref="U53:V53"/>
    <mergeCell ref="W44:X44"/>
    <mergeCell ref="Y44:Z44"/>
    <mergeCell ref="AA44:AB44"/>
    <mergeCell ref="AC44:AD44"/>
    <mergeCell ref="I44:J44"/>
    <mergeCell ref="K44:L44"/>
    <mergeCell ref="M44:N44"/>
    <mergeCell ref="O44:P44"/>
    <mergeCell ref="Q44:R44"/>
    <mergeCell ref="S44:T44"/>
    <mergeCell ref="U44:V44"/>
    <mergeCell ref="W43:X43"/>
    <mergeCell ref="Y43:Z43"/>
    <mergeCell ref="AA43:AB43"/>
    <mergeCell ref="AC43:AD43"/>
    <mergeCell ref="I43:J43"/>
    <mergeCell ref="K43:L43"/>
    <mergeCell ref="M43:N43"/>
    <mergeCell ref="O43:P43"/>
    <mergeCell ref="Q43:R43"/>
    <mergeCell ref="S43:T43"/>
    <mergeCell ref="U43:V43"/>
    <mergeCell ref="W34:X34"/>
    <mergeCell ref="Y34:Z34"/>
    <mergeCell ref="AA34:AB34"/>
    <mergeCell ref="AC34:AD34"/>
    <mergeCell ref="I34:J34"/>
    <mergeCell ref="K34:L34"/>
    <mergeCell ref="M34:N34"/>
    <mergeCell ref="O34:P34"/>
    <mergeCell ref="Q34:R34"/>
    <mergeCell ref="S34:T34"/>
    <mergeCell ref="U34:V34"/>
    <mergeCell ref="W33:X33"/>
    <mergeCell ref="Y33:Z33"/>
    <mergeCell ref="AA33:AB33"/>
    <mergeCell ref="AC33:AD33"/>
    <mergeCell ref="I33:J33"/>
    <mergeCell ref="K33:L33"/>
    <mergeCell ref="M33:N33"/>
    <mergeCell ref="O33:P33"/>
    <mergeCell ref="Q33:R33"/>
    <mergeCell ref="S33:T33"/>
    <mergeCell ref="U33:V33"/>
    <mergeCell ref="W24:X24"/>
    <mergeCell ref="Y24:Z24"/>
    <mergeCell ref="AA24:AB24"/>
    <mergeCell ref="AC24:AD24"/>
    <mergeCell ref="I24:J24"/>
    <mergeCell ref="K24:L24"/>
    <mergeCell ref="M24:N24"/>
    <mergeCell ref="O24:P24"/>
    <mergeCell ref="Q24:R24"/>
    <mergeCell ref="S24:T24"/>
    <mergeCell ref="U24:V24"/>
    <mergeCell ref="W96:X96"/>
    <mergeCell ref="Y96:Z96"/>
    <mergeCell ref="AA96:AB96"/>
    <mergeCell ref="AC96:AD96"/>
    <mergeCell ref="I96:J96"/>
    <mergeCell ref="K96:L96"/>
    <mergeCell ref="M96:N96"/>
    <mergeCell ref="O96:P96"/>
    <mergeCell ref="Q96:R96"/>
    <mergeCell ref="S96:T96"/>
    <mergeCell ref="U96:V96"/>
    <mergeCell ref="W23:X23"/>
    <mergeCell ref="Y23:Z23"/>
    <mergeCell ref="AA23:AB23"/>
    <mergeCell ref="AC23:AD23"/>
    <mergeCell ref="I23:J23"/>
    <mergeCell ref="K23:L23"/>
    <mergeCell ref="M23:N23"/>
    <mergeCell ref="O23:P23"/>
    <mergeCell ref="Q23:R23"/>
    <mergeCell ref="S23:T23"/>
    <mergeCell ref="U23:V23"/>
    <mergeCell ref="W14:X14"/>
    <mergeCell ref="Y14:Z14"/>
    <mergeCell ref="AA14:AB14"/>
    <mergeCell ref="AC14:AD14"/>
    <mergeCell ref="I14:J14"/>
    <mergeCell ref="K14:L14"/>
    <mergeCell ref="M14:N14"/>
    <mergeCell ref="O14:P14"/>
    <mergeCell ref="Q14:R14"/>
    <mergeCell ref="S14:T14"/>
    <mergeCell ref="U14:V14"/>
    <mergeCell ref="W13:X13"/>
    <mergeCell ref="Y13:Z13"/>
    <mergeCell ref="AA13:AB13"/>
    <mergeCell ref="AC13:AD13"/>
    <mergeCell ref="I13:J13"/>
    <mergeCell ref="K13:L13"/>
    <mergeCell ref="M13:N13"/>
    <mergeCell ref="O13:P13"/>
    <mergeCell ref="Q13:R13"/>
    <mergeCell ref="S13:T13"/>
    <mergeCell ref="U13:V13"/>
    <mergeCell ref="W95:X95"/>
    <mergeCell ref="Y95:Z95"/>
    <mergeCell ref="AA95:AB95"/>
    <mergeCell ref="AC95:AD95"/>
    <mergeCell ref="I95:J95"/>
    <mergeCell ref="K95:L95"/>
    <mergeCell ref="M95:N95"/>
    <mergeCell ref="O95:P95"/>
    <mergeCell ref="Q95:R95"/>
    <mergeCell ref="S95:T95"/>
    <mergeCell ref="U95:V95"/>
    <mergeCell ref="W86:X86"/>
    <mergeCell ref="Y86:Z86"/>
    <mergeCell ref="AA86:AB86"/>
    <mergeCell ref="AC86:AD86"/>
    <mergeCell ref="I86:J86"/>
    <mergeCell ref="K86:L86"/>
    <mergeCell ref="M86:N86"/>
    <mergeCell ref="O86:P86"/>
    <mergeCell ref="Q86:R86"/>
    <mergeCell ref="S86:T86"/>
    <mergeCell ref="U86:V86"/>
    <mergeCell ref="W85:X85"/>
    <mergeCell ref="Y85:Z85"/>
    <mergeCell ref="AA85:AB85"/>
    <mergeCell ref="AC85:AD85"/>
    <mergeCell ref="I85:J85"/>
    <mergeCell ref="K85:L85"/>
    <mergeCell ref="M85:N85"/>
    <mergeCell ref="O85:P85"/>
    <mergeCell ref="Q85:R85"/>
    <mergeCell ref="S85:T85"/>
    <mergeCell ref="U85:V85"/>
    <mergeCell ref="W76:X76"/>
    <mergeCell ref="Y76:Z76"/>
    <mergeCell ref="AA76:AB76"/>
    <mergeCell ref="AC76:AD76"/>
    <mergeCell ref="I76:J76"/>
    <mergeCell ref="K76:L76"/>
    <mergeCell ref="M76:N76"/>
    <mergeCell ref="O76:P76"/>
    <mergeCell ref="Q76:R76"/>
    <mergeCell ref="S76:T76"/>
    <mergeCell ref="U76:V76"/>
    <mergeCell ref="W75:X75"/>
    <mergeCell ref="Y75:Z75"/>
    <mergeCell ref="AA75:AB75"/>
    <mergeCell ref="AC75:AD75"/>
    <mergeCell ref="I75:J75"/>
    <mergeCell ref="K75:L75"/>
    <mergeCell ref="M75:N75"/>
    <mergeCell ref="O75:P75"/>
    <mergeCell ref="Q75:R75"/>
    <mergeCell ref="S75:T75"/>
    <mergeCell ref="U75:V75"/>
    <mergeCell ref="W66:X66"/>
    <mergeCell ref="Y66:Z66"/>
    <mergeCell ref="AA66:AB66"/>
    <mergeCell ref="AC66:AD66"/>
    <mergeCell ref="I66:J66"/>
    <mergeCell ref="K66:L66"/>
    <mergeCell ref="M66:N66"/>
    <mergeCell ref="O66:P66"/>
    <mergeCell ref="Q66:R66"/>
    <mergeCell ref="S66:T66"/>
    <mergeCell ref="U66:V66"/>
    <mergeCell ref="W65:X65"/>
    <mergeCell ref="Y65:Z65"/>
    <mergeCell ref="AA65:AB65"/>
    <mergeCell ref="AC65:AD65"/>
    <mergeCell ref="I65:J65"/>
    <mergeCell ref="K65:L65"/>
    <mergeCell ref="M65:N65"/>
    <mergeCell ref="O65:P65"/>
    <mergeCell ref="Q65:R65"/>
    <mergeCell ref="S65:T65"/>
    <mergeCell ref="U65:V65"/>
  </mergeCells>
  <pageMargins left="0.7" right="0.7" top="0.78740157499999996" bottom="0.78740157499999996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AE1000"/>
  <sheetViews>
    <sheetView workbookViewId="0">
      <pane ySplit="10" topLeftCell="A11" activePane="bottomLeft" state="frozen"/>
      <selection pane="bottomLeft" activeCell="AD9" sqref="AD9"/>
    </sheetView>
  </sheetViews>
  <sheetFormatPr baseColWidth="10" defaultColWidth="12.6328125" defaultRowHeight="15" customHeight="1" x14ac:dyDescent="0.35"/>
  <cols>
    <col min="1" max="1" width="9.36328125" customWidth="1"/>
    <col min="2" max="2" width="11" customWidth="1"/>
    <col min="3" max="3" width="9.36328125" customWidth="1"/>
    <col min="4" max="8" width="11.7265625" customWidth="1"/>
    <col min="9" max="9" width="2.7265625" customWidth="1"/>
    <col min="10" max="10" width="8" customWidth="1"/>
    <col min="11" max="11" width="2.7265625" customWidth="1"/>
    <col min="12" max="12" width="8.7265625" customWidth="1"/>
    <col min="13" max="13" width="3.08984375" customWidth="1"/>
    <col min="14" max="14" width="7.7265625" customWidth="1"/>
    <col min="15" max="15" width="3.90625" customWidth="1"/>
    <col min="16" max="16" width="6.7265625" customWidth="1"/>
    <col min="17" max="17" width="3.6328125" customWidth="1"/>
    <col min="18" max="18" width="7.36328125" customWidth="1"/>
    <col min="19" max="19" width="3.90625" customWidth="1"/>
    <col min="20" max="20" width="6.453125" customWidth="1"/>
    <col min="21" max="21" width="4" customWidth="1"/>
    <col min="22" max="22" width="7.08984375" customWidth="1"/>
    <col min="23" max="23" width="4" customWidth="1"/>
    <col min="24" max="24" width="8.90625" customWidth="1"/>
    <col min="25" max="25" width="4.08984375" customWidth="1"/>
    <col min="26" max="26" width="7.36328125" customWidth="1"/>
    <col min="27" max="27" width="4.08984375" customWidth="1"/>
    <col min="28" max="28" width="7.90625" customWidth="1"/>
    <col min="29" max="29" width="4.08984375" customWidth="1"/>
    <col min="30" max="30" width="6.26953125" customWidth="1"/>
    <col min="31" max="31" width="9.36328125" customWidth="1"/>
  </cols>
  <sheetData>
    <row r="1" spans="2:31" ht="14.25" customHeight="1" x14ac:dyDescent="0.7">
      <c r="B1" s="1" t="s">
        <v>0</v>
      </c>
    </row>
    <row r="2" spans="2:31" ht="14.25" customHeight="1" x14ac:dyDescent="0.35"/>
    <row r="3" spans="2:31" ht="14.25" customHeight="1" x14ac:dyDescent="0.35">
      <c r="B3" s="2" t="s">
        <v>13</v>
      </c>
    </row>
    <row r="4" spans="2:31" ht="14.25" customHeight="1" x14ac:dyDescent="0.35"/>
    <row r="5" spans="2:31" ht="14.25" customHeight="1" x14ac:dyDescent="0.35">
      <c r="B5" s="2" t="s">
        <v>18</v>
      </c>
      <c r="C5" s="2">
        <v>0.25</v>
      </c>
      <c r="D5" s="2" t="s">
        <v>19</v>
      </c>
    </row>
    <row r="6" spans="2:31" ht="14.25" customHeight="1" x14ac:dyDescent="0.35">
      <c r="B6" s="2" t="s">
        <v>5</v>
      </c>
      <c r="C6" s="2">
        <v>0.125</v>
      </c>
      <c r="D6" s="2" t="s">
        <v>19</v>
      </c>
    </row>
    <row r="7" spans="2:31" ht="14.25" customHeight="1" x14ac:dyDescent="0.35">
      <c r="B7" s="2" t="s">
        <v>23</v>
      </c>
      <c r="C7" s="2">
        <f>0.25/3</f>
        <v>8.3333333333333329E-2</v>
      </c>
      <c r="D7" s="2" t="s">
        <v>19</v>
      </c>
      <c r="E7" s="2" t="s">
        <v>24</v>
      </c>
      <c r="J7" s="2" t="s">
        <v>16</v>
      </c>
      <c r="L7" s="2" t="s">
        <v>14</v>
      </c>
      <c r="N7" s="2" t="s">
        <v>20</v>
      </c>
      <c r="P7" s="2" t="s">
        <v>25</v>
      </c>
      <c r="R7" s="2" t="s">
        <v>26</v>
      </c>
      <c r="T7" s="2" t="s">
        <v>27</v>
      </c>
      <c r="V7" s="2" t="s">
        <v>28</v>
      </c>
      <c r="X7" s="2" t="s">
        <v>29</v>
      </c>
      <c r="Z7" s="2" t="s">
        <v>30</v>
      </c>
      <c r="AB7" s="2" t="s">
        <v>22</v>
      </c>
      <c r="AD7" s="2" t="s">
        <v>31</v>
      </c>
    </row>
    <row r="8" spans="2:31" ht="14.25" customHeight="1" x14ac:dyDescent="0.45">
      <c r="B8" s="2" t="s">
        <v>9</v>
      </c>
      <c r="C8" s="2">
        <f>0.25/4</f>
        <v>6.25E-2</v>
      </c>
      <c r="D8" s="2" t="s">
        <v>19</v>
      </c>
      <c r="E8" s="2" t="s">
        <v>33</v>
      </c>
      <c r="F8" s="15" t="s">
        <v>34</v>
      </c>
      <c r="J8" s="16">
        <f>J21+J31+J41+J51+J63+J73+J83+J93+J105+J115</f>
        <v>16.909722222222221</v>
      </c>
      <c r="L8" s="16">
        <f>L21+L31+L41+L51+L63+L73+L83+L93+L105+L115</f>
        <v>15.375</v>
      </c>
      <c r="N8" s="16">
        <f>N21+N31+N41+N51+N63+N73+N83+N93+N105+N115</f>
        <v>8.2916666666666679</v>
      </c>
      <c r="P8" s="16">
        <f>P21+P31+P41+P51+P63+P73+P83+P93+P105+P115</f>
        <v>15.013888888888889</v>
      </c>
      <c r="R8" s="16">
        <f>R21+R31+R41+R51+R63+R73+R83+R93+R105+R115</f>
        <v>6.0625</v>
      </c>
      <c r="T8" s="16">
        <f>T21+T31+T41+T51+T63+T73+T83+T93+T105+T115</f>
        <v>3.4166666666666661</v>
      </c>
      <c r="V8" s="16">
        <f>V21+V31+V41+V51+V63+V73+V83+V93+V105+V115</f>
        <v>6.75</v>
      </c>
      <c r="X8" s="16">
        <f>X21+X31+X41+X51+X63+X73+X83+X93+X105+X115</f>
        <v>9.2222222222222214</v>
      </c>
      <c r="Z8" s="16">
        <f>Z21+Z31+Z41+Z51+Z63+Z73+Z83+Z93+Z105+Z115</f>
        <v>0</v>
      </c>
      <c r="AB8" s="16">
        <f>AB21+AB31+AB41+AB51+AB63+AB73+AB83+AB93+AB105+AB115</f>
        <v>17.791666666666668</v>
      </c>
      <c r="AD8" s="16">
        <f>AD21+AD31+AD41+AD51+AD63+AD73+AD83+AD93+AD105+AD115</f>
        <v>5.25</v>
      </c>
    </row>
    <row r="9" spans="2:31" ht="17.25" customHeight="1" x14ac:dyDescent="0.45">
      <c r="F9" s="15" t="s">
        <v>37</v>
      </c>
      <c r="J9" s="16">
        <f>I14+I24+I34+I44+I54+I66+I76+I86+I96+I108</f>
        <v>8</v>
      </c>
      <c r="L9" s="16">
        <f>K14+K24+K34+K44+K54+K66+K76+K86+K96+K108</f>
        <v>9</v>
      </c>
      <c r="N9" s="16">
        <f>M14+M24+M34+M44+M54+M66+M76+M86+M96+M108</f>
        <v>7</v>
      </c>
      <c r="P9" s="16">
        <f>O14+O24+O34+O44+O54+O66+O76+O86+O96+O108</f>
        <v>9</v>
      </c>
      <c r="R9" s="16">
        <f>Q14+Q24+Q34+Q44+Q54+Q66+Q76+Q86+Q96+Q108</f>
        <v>5</v>
      </c>
      <c r="T9" s="16">
        <f>S14+S24+S34+S44+S54+S66+S76+S86+S96+S108</f>
        <v>5</v>
      </c>
      <c r="V9" s="16">
        <f>U14+U24+U34+U44+U54+U66+U76+U86+U96+U108</f>
        <v>4</v>
      </c>
      <c r="X9" s="16">
        <f>W14+W24+W34+W44+W54+W66+W76+W86+W96+W108</f>
        <v>7</v>
      </c>
      <c r="Z9" s="16">
        <f>Y14+Y24+Y34+Y44+Y54+Y66+Y76+Y86+Y96+Y108</f>
        <v>0</v>
      </c>
      <c r="AB9" s="16">
        <f>AA14+AA24+AA34+AA44+AA54+AA66+AA76+AA86+AA96+AA108</f>
        <v>9</v>
      </c>
      <c r="AD9" s="16">
        <f>AC14+AC24+AC34+AC44+AC54+AC66+AC76+AC86+AC96+AC108</f>
        <v>4</v>
      </c>
    </row>
    <row r="10" spans="2:31" ht="14.25" customHeight="1" x14ac:dyDescent="0.45">
      <c r="F10" s="15" t="s">
        <v>38</v>
      </c>
      <c r="J10" s="16">
        <f>J8/J9</f>
        <v>2.1137152777777777</v>
      </c>
      <c r="L10" s="16">
        <f>L8/L9</f>
        <v>1.7083333333333333</v>
      </c>
      <c r="N10" s="16">
        <f>N8/N9</f>
        <v>1.1845238095238098</v>
      </c>
      <c r="P10" s="16">
        <f>P8/P9</f>
        <v>1.6682098765432098</v>
      </c>
      <c r="R10" s="16">
        <f>R8/R9</f>
        <v>1.2124999999999999</v>
      </c>
      <c r="T10" s="16">
        <f>T8/T9</f>
        <v>0.68333333333333324</v>
      </c>
      <c r="V10" s="16">
        <f>V8/V9</f>
        <v>1.6875</v>
      </c>
      <c r="X10" s="16">
        <f>X8/X9</f>
        <v>1.3174603174603174</v>
      </c>
      <c r="Z10" s="16" t="e">
        <f>Z8/Z9</f>
        <v>#DIV/0!</v>
      </c>
      <c r="AB10" s="16">
        <f>AB8/AB9</f>
        <v>1.9768518518518521</v>
      </c>
      <c r="AD10" s="16">
        <f>AD8/AD9</f>
        <v>1.3125</v>
      </c>
    </row>
    <row r="11" spans="2:31" ht="14.25" customHeight="1" x14ac:dyDescent="0.35"/>
    <row r="12" spans="2:31" ht="14.25" customHeight="1" x14ac:dyDescent="0.45">
      <c r="D12" s="21">
        <v>2025</v>
      </c>
    </row>
    <row r="13" spans="2:31" ht="14.25" customHeight="1" x14ac:dyDescent="0.35">
      <c r="I13" s="160" t="s">
        <v>16</v>
      </c>
      <c r="J13" s="161"/>
      <c r="K13" s="160" t="s">
        <v>14</v>
      </c>
      <c r="L13" s="161"/>
      <c r="M13" s="160" t="s">
        <v>20</v>
      </c>
      <c r="N13" s="161"/>
      <c r="O13" s="160" t="s">
        <v>25</v>
      </c>
      <c r="P13" s="161"/>
      <c r="Q13" s="160" t="s">
        <v>26</v>
      </c>
      <c r="R13" s="161"/>
      <c r="S13" s="160" t="s">
        <v>27</v>
      </c>
      <c r="T13" s="161"/>
      <c r="U13" s="160" t="s">
        <v>28</v>
      </c>
      <c r="V13" s="161"/>
      <c r="W13" s="160" t="s">
        <v>41</v>
      </c>
      <c r="X13" s="161"/>
      <c r="Y13" s="160" t="s">
        <v>30</v>
      </c>
      <c r="Z13" s="161"/>
      <c r="AA13" s="160" t="s">
        <v>22</v>
      </c>
      <c r="AB13" s="161"/>
      <c r="AC13" s="160"/>
      <c r="AD13" s="161"/>
      <c r="AE13" s="22" t="s">
        <v>42</v>
      </c>
    </row>
    <row r="14" spans="2:31" ht="14.25" customHeight="1" x14ac:dyDescent="0.35">
      <c r="D14" s="2" t="s">
        <v>43</v>
      </c>
      <c r="E14" s="2" t="s">
        <v>44</v>
      </c>
      <c r="I14" s="160">
        <v>1</v>
      </c>
      <c r="J14" s="161"/>
      <c r="K14" s="160">
        <v>1</v>
      </c>
      <c r="L14" s="161"/>
      <c r="M14" s="160">
        <v>1</v>
      </c>
      <c r="N14" s="161"/>
      <c r="O14" s="160">
        <v>1</v>
      </c>
      <c r="P14" s="161"/>
      <c r="Q14" s="160">
        <v>1</v>
      </c>
      <c r="R14" s="161"/>
      <c r="S14" s="160"/>
      <c r="T14" s="161"/>
      <c r="U14" s="160"/>
      <c r="V14" s="161"/>
      <c r="W14" s="160"/>
      <c r="X14" s="161"/>
      <c r="Y14" s="160"/>
      <c r="Z14" s="161"/>
      <c r="AA14" s="160">
        <v>1</v>
      </c>
      <c r="AB14" s="161"/>
      <c r="AC14" s="160"/>
      <c r="AD14" s="161"/>
      <c r="AE14" s="22">
        <f>SUM(I14:AB14)</f>
        <v>6</v>
      </c>
    </row>
    <row r="15" spans="2:31" ht="14.25" customHeight="1" x14ac:dyDescent="0.35">
      <c r="E15" s="2" t="s">
        <v>46</v>
      </c>
      <c r="F15" s="2" t="s">
        <v>47</v>
      </c>
      <c r="I15" s="2">
        <v>1</v>
      </c>
      <c r="J15" s="23">
        <f>I15*$C$5*$AE$14</f>
        <v>1.5</v>
      </c>
      <c r="L15" s="23">
        <f>K15*$C$5*$AE$14</f>
        <v>0</v>
      </c>
      <c r="N15" s="23">
        <f>M15*$C$5*$AE$14</f>
        <v>0</v>
      </c>
      <c r="P15" s="23">
        <f>O15*$C$5*$AE$14</f>
        <v>0</v>
      </c>
      <c r="R15" s="23">
        <f>Q15*$C$5*$AE$14</f>
        <v>0</v>
      </c>
      <c r="T15" s="23">
        <f>S15*$C$5*$AE$14</f>
        <v>0</v>
      </c>
      <c r="V15" s="23">
        <f>U15*$C$5*$AE$14</f>
        <v>0</v>
      </c>
      <c r="X15" s="23">
        <f>W15*$C$5*$AE$14</f>
        <v>0</v>
      </c>
      <c r="Z15" s="23">
        <f>Y15*$C$5*$AE$14</f>
        <v>0</v>
      </c>
      <c r="AA15" s="2">
        <v>1</v>
      </c>
      <c r="AB15" s="23">
        <f>AA15*$C$5*$AE$14</f>
        <v>1.5</v>
      </c>
      <c r="AD15" s="23">
        <f>AC15*$C$5*$AE$14</f>
        <v>0</v>
      </c>
    </row>
    <row r="16" spans="2:31" ht="14.25" customHeight="1" x14ac:dyDescent="0.35">
      <c r="F16" s="2" t="s">
        <v>5</v>
      </c>
      <c r="J16" s="23">
        <f>I16*$C$6*$AE$14</f>
        <v>0</v>
      </c>
      <c r="K16" s="2">
        <v>1</v>
      </c>
      <c r="L16" s="23">
        <f>K16*$C$6*$AE$14</f>
        <v>0.75</v>
      </c>
      <c r="N16" s="23">
        <f>M16*$C$6*$AE$14</f>
        <v>0</v>
      </c>
      <c r="P16" s="23">
        <f>O16*$C$6*$AE$14</f>
        <v>0</v>
      </c>
      <c r="R16" s="23">
        <f>Q16*$C$6*$AE$14</f>
        <v>0</v>
      </c>
      <c r="T16" s="23">
        <f>S16*$C$6*$AE$14</f>
        <v>0</v>
      </c>
      <c r="V16" s="23">
        <f>U16*$C$6*$AE$14</f>
        <v>0</v>
      </c>
      <c r="X16" s="23">
        <f>W16*$C$6*$AE$14</f>
        <v>0</v>
      </c>
      <c r="Z16" s="23">
        <f>Y16*$C$6*$AE$14</f>
        <v>0</v>
      </c>
      <c r="AB16" s="23">
        <f>AA16*$C$6*$AE$14</f>
        <v>0</v>
      </c>
      <c r="AD16" s="23">
        <f>AC16*$C$6*$AE$14</f>
        <v>0</v>
      </c>
    </row>
    <row r="17" spans="4:31" ht="14.25" customHeight="1" x14ac:dyDescent="0.35">
      <c r="F17" s="2" t="s">
        <v>23</v>
      </c>
      <c r="J17" s="23">
        <f>I17*$C$7*$AE$14</f>
        <v>0</v>
      </c>
      <c r="L17" s="23">
        <f>K17*$C$7*$AE$14</f>
        <v>0</v>
      </c>
      <c r="N17" s="23">
        <f>M17*$C$7*$AE$14</f>
        <v>0</v>
      </c>
      <c r="P17" s="23">
        <f>O17*$C$7*$AE$14</f>
        <v>0</v>
      </c>
      <c r="R17" s="23">
        <f>Q17*$C$7*$AE$14</f>
        <v>0</v>
      </c>
      <c r="T17" s="23">
        <f>S17*$C$7*$AE$14</f>
        <v>0</v>
      </c>
      <c r="V17" s="23">
        <f>U17*$C$7*$AE$14</f>
        <v>0</v>
      </c>
      <c r="X17" s="23">
        <f>W17*$C$7*$AE$14</f>
        <v>0</v>
      </c>
      <c r="Z17" s="23">
        <f>Y17*$C$7*$AE$14</f>
        <v>0</v>
      </c>
      <c r="AB17" s="23">
        <f>AA17*$C$7*$AE$14</f>
        <v>0</v>
      </c>
      <c r="AD17" s="23">
        <f>AC17*$C$7*$AE$14</f>
        <v>0</v>
      </c>
    </row>
    <row r="18" spans="4:31" ht="14.25" customHeight="1" x14ac:dyDescent="0.35">
      <c r="E18" s="2" t="s">
        <v>49</v>
      </c>
      <c r="F18" s="2" t="s">
        <v>47</v>
      </c>
      <c r="J18" s="23">
        <f>I18*$C$5*$AE$14</f>
        <v>0</v>
      </c>
      <c r="K18" s="2">
        <v>1</v>
      </c>
      <c r="L18" s="23">
        <f>K18*$C$5*$AE$14</f>
        <v>1.5</v>
      </c>
      <c r="M18" s="2">
        <v>1</v>
      </c>
      <c r="N18" s="23">
        <f>M18*$C$5*$AE$14</f>
        <v>1.5</v>
      </c>
      <c r="P18" s="23">
        <f>O18*$C$5*$AE$14</f>
        <v>0</v>
      </c>
      <c r="R18" s="23">
        <f>Q18*$C$5*$AE$14</f>
        <v>0</v>
      </c>
      <c r="T18" s="23">
        <f>S18*$C$5*$AE$14</f>
        <v>0</v>
      </c>
      <c r="V18" s="23">
        <f>U18*$C$5*$AE$14</f>
        <v>0</v>
      </c>
      <c r="X18" s="23">
        <f>W18*$C$5*$AE$14</f>
        <v>0</v>
      </c>
      <c r="Z18" s="23">
        <f>Y18*$C$5*$AE$14</f>
        <v>0</v>
      </c>
      <c r="AB18" s="23">
        <f>AA18*$C$5*$AE$14</f>
        <v>0</v>
      </c>
      <c r="AD18" s="23">
        <f>AC18*$C$5*$AE$14</f>
        <v>0</v>
      </c>
    </row>
    <row r="19" spans="4:31" ht="14.25" customHeight="1" x14ac:dyDescent="0.35">
      <c r="F19" s="2" t="s">
        <v>5</v>
      </c>
      <c r="J19" s="23">
        <f>I19*$C$6*$AE$14</f>
        <v>0</v>
      </c>
      <c r="L19" s="23">
        <f>K19*$C$6*$AE$14</f>
        <v>0</v>
      </c>
      <c r="N19" s="23">
        <f>M19*$C$6*$AE$14</f>
        <v>0</v>
      </c>
      <c r="P19" s="23">
        <f>O19*$C$6*$AE$14</f>
        <v>0</v>
      </c>
      <c r="Q19" s="2">
        <v>1</v>
      </c>
      <c r="R19" s="23">
        <f>Q19*$C$6*$AE$14</f>
        <v>0.75</v>
      </c>
      <c r="T19" s="23">
        <f>S19*$C$6*$AE$14</f>
        <v>0</v>
      </c>
      <c r="V19" s="23">
        <f>U19*$C$6*$AE$14</f>
        <v>0</v>
      </c>
      <c r="X19" s="23">
        <f>W19*$C$6*$AE$14</f>
        <v>0</v>
      </c>
      <c r="Z19" s="23">
        <f>Y19*$C$6*$AE$14</f>
        <v>0</v>
      </c>
      <c r="AB19" s="23">
        <f>AA19*$C$6*$AE$14</f>
        <v>0</v>
      </c>
      <c r="AD19" s="23">
        <f>AC19*$C$6*$AE$14</f>
        <v>0</v>
      </c>
    </row>
    <row r="20" spans="4:31" ht="14.25" customHeight="1" x14ac:dyDescent="0.35">
      <c r="F20" s="2" t="s">
        <v>23</v>
      </c>
      <c r="J20" s="23">
        <f>I20*$C$7*$AE$14</f>
        <v>0</v>
      </c>
      <c r="L20" s="23">
        <f>K20*$C$7*$AE$14</f>
        <v>0</v>
      </c>
      <c r="N20" s="23">
        <f>M20*$C$7*$AE$14</f>
        <v>0</v>
      </c>
      <c r="P20" s="23">
        <f>O20*$C$7*$AE$14</f>
        <v>0</v>
      </c>
      <c r="R20" s="23">
        <f>Q20*$C$7*$AE$14</f>
        <v>0</v>
      </c>
      <c r="T20" s="23">
        <f>S20*$C$7*$AE$14</f>
        <v>0</v>
      </c>
      <c r="V20" s="23">
        <f>U20*$C$7*$AE$14</f>
        <v>0</v>
      </c>
      <c r="X20" s="23">
        <f>W20*$C$7*$AE$14</f>
        <v>0</v>
      </c>
      <c r="Z20" s="23">
        <f>Y20*$C$7*$AE$14</f>
        <v>0</v>
      </c>
      <c r="AB20" s="23">
        <f>AA20*$C$7*$AE$14</f>
        <v>0</v>
      </c>
      <c r="AD20" s="23">
        <f>AC20*$C$7*$AE$14</f>
        <v>0</v>
      </c>
    </row>
    <row r="21" spans="4:31" ht="14.25" customHeight="1" x14ac:dyDescent="0.45">
      <c r="F21" s="15" t="s">
        <v>51</v>
      </c>
      <c r="J21" s="24">
        <f>SUM(J15:J20)</f>
        <v>1.5</v>
      </c>
      <c r="L21" s="24">
        <f>SUM(L15:L20)</f>
        <v>2.25</v>
      </c>
      <c r="M21" s="25"/>
      <c r="N21" s="24">
        <f>SUM(N15:N20)</f>
        <v>1.5</v>
      </c>
      <c r="O21" s="25"/>
      <c r="P21" s="24">
        <f>SUM(P15:P20)</f>
        <v>0</v>
      </c>
      <c r="Q21" s="25"/>
      <c r="R21" s="24">
        <f>SUM(R15:R20)</f>
        <v>0.75</v>
      </c>
      <c r="S21" s="25"/>
      <c r="T21" s="24">
        <f>SUM(T15:T20)</f>
        <v>0</v>
      </c>
      <c r="U21" s="25"/>
      <c r="V21" s="24">
        <f>SUM(V15:V20)</f>
        <v>0</v>
      </c>
      <c r="W21" s="25"/>
      <c r="X21" s="24">
        <f>SUM(X15:X20)</f>
        <v>0</v>
      </c>
      <c r="Y21" s="25"/>
      <c r="Z21" s="24">
        <f>SUM(Z15:Z20)</f>
        <v>0</v>
      </c>
      <c r="AA21" s="25"/>
      <c r="AB21" s="24">
        <f>SUM(AB15:AB20)</f>
        <v>1.5</v>
      </c>
      <c r="AC21" s="25"/>
      <c r="AD21" s="24">
        <f>SUM(AD15:AD20)</f>
        <v>0</v>
      </c>
    </row>
    <row r="22" spans="4:31" ht="14.25" customHeight="1" x14ac:dyDescent="0.35"/>
    <row r="23" spans="4:31" ht="14.25" customHeight="1" x14ac:dyDescent="0.35">
      <c r="I23" s="160" t="s">
        <v>16</v>
      </c>
      <c r="J23" s="161"/>
      <c r="K23" s="160" t="s">
        <v>14</v>
      </c>
      <c r="L23" s="161"/>
      <c r="M23" s="160" t="s">
        <v>20</v>
      </c>
      <c r="N23" s="161"/>
      <c r="O23" s="160" t="s">
        <v>25</v>
      </c>
      <c r="P23" s="161"/>
      <c r="Q23" s="160" t="s">
        <v>26</v>
      </c>
      <c r="R23" s="161"/>
      <c r="S23" s="160" t="s">
        <v>27</v>
      </c>
      <c r="T23" s="161"/>
      <c r="U23" s="160" t="s">
        <v>28</v>
      </c>
      <c r="V23" s="161"/>
      <c r="W23" s="160" t="s">
        <v>41</v>
      </c>
      <c r="X23" s="161"/>
      <c r="Y23" s="160" t="s">
        <v>30</v>
      </c>
      <c r="Z23" s="161"/>
      <c r="AA23" s="160" t="s">
        <v>22</v>
      </c>
      <c r="AB23" s="161"/>
      <c r="AC23" s="160"/>
      <c r="AD23" s="161"/>
      <c r="AE23" s="2" t="s">
        <v>42</v>
      </c>
    </row>
    <row r="24" spans="4:31" ht="14.25" customHeight="1" x14ac:dyDescent="0.35">
      <c r="D24" s="2" t="s">
        <v>54</v>
      </c>
      <c r="E24" s="2" t="s">
        <v>44</v>
      </c>
      <c r="I24" s="160">
        <v>1</v>
      </c>
      <c r="J24" s="161"/>
      <c r="K24" s="160">
        <v>1</v>
      </c>
      <c r="L24" s="161"/>
      <c r="M24" s="160">
        <v>1</v>
      </c>
      <c r="N24" s="161"/>
      <c r="O24" s="160">
        <v>1</v>
      </c>
      <c r="P24" s="161"/>
      <c r="Q24" s="160"/>
      <c r="R24" s="161"/>
      <c r="S24" s="160">
        <v>1</v>
      </c>
      <c r="T24" s="161"/>
      <c r="U24" s="160"/>
      <c r="V24" s="161"/>
      <c r="W24" s="160">
        <v>1</v>
      </c>
      <c r="X24" s="161"/>
      <c r="Y24" s="160"/>
      <c r="Z24" s="161"/>
      <c r="AA24" s="160">
        <v>1</v>
      </c>
      <c r="AB24" s="161"/>
      <c r="AC24" s="160"/>
      <c r="AD24" s="161"/>
      <c r="AE24" s="22">
        <f>SUM(I24:AB24)</f>
        <v>7</v>
      </c>
    </row>
    <row r="25" spans="4:31" ht="14.25" customHeight="1" x14ac:dyDescent="0.35">
      <c r="E25" s="2" t="s">
        <v>46</v>
      </c>
      <c r="F25" s="2" t="s">
        <v>47</v>
      </c>
      <c r="I25" s="2">
        <v>1</v>
      </c>
      <c r="J25" s="23">
        <f>I25*$C$5*$AE$24</f>
        <v>1.75</v>
      </c>
      <c r="L25" s="23">
        <f>K25*$C$5*$AE$24</f>
        <v>0</v>
      </c>
      <c r="M25" s="2">
        <v>1</v>
      </c>
      <c r="N25" s="23">
        <f>M25*$C$5*$AE$24</f>
        <v>1.75</v>
      </c>
      <c r="P25" s="23">
        <f>O25*$C$5*$AE$24</f>
        <v>0</v>
      </c>
      <c r="R25" s="23">
        <f>Q25*$C$5*$AE$24</f>
        <v>0</v>
      </c>
      <c r="T25" s="23">
        <f>S25*$C$5*$AE$24</f>
        <v>0</v>
      </c>
      <c r="V25" s="23">
        <f>U25*$C$5*$AE$24</f>
        <v>0</v>
      </c>
      <c r="X25" s="23">
        <f>W25*$C$5*$AE$24</f>
        <v>0</v>
      </c>
      <c r="Z25" s="23">
        <f>Y25*$C$5*$AE$24</f>
        <v>0</v>
      </c>
      <c r="AB25" s="23">
        <f>AA25*$C$5*$AE$24</f>
        <v>0</v>
      </c>
      <c r="AD25" s="23">
        <f>AC25*$C$5*$AE$24</f>
        <v>0</v>
      </c>
    </row>
    <row r="26" spans="4:31" ht="14.25" customHeight="1" x14ac:dyDescent="0.35">
      <c r="F26" s="2" t="s">
        <v>5</v>
      </c>
      <c r="J26" s="23">
        <f>I26*$C$6*$AE$24</f>
        <v>0</v>
      </c>
      <c r="L26" s="23">
        <f>K26*$C$6*$AE$24</f>
        <v>0</v>
      </c>
      <c r="N26" s="23">
        <f>M26*$C$6*$AE$24</f>
        <v>0</v>
      </c>
      <c r="O26" s="2">
        <v>1</v>
      </c>
      <c r="P26" s="23">
        <f>O26*$C$6*$AE$24</f>
        <v>0.875</v>
      </c>
      <c r="R26" s="23">
        <f>Q26*$C$6*$AE$24</f>
        <v>0</v>
      </c>
      <c r="T26" s="23">
        <f>S26*$C$6*$AE$24</f>
        <v>0</v>
      </c>
      <c r="V26" s="23">
        <f>U26*$C$6*$AE$24</f>
        <v>0</v>
      </c>
      <c r="X26" s="23">
        <f>W26*$C$6*$AE$24</f>
        <v>0</v>
      </c>
      <c r="Z26" s="23">
        <f>Y26*$C$6*$AE$24</f>
        <v>0</v>
      </c>
      <c r="AB26" s="23">
        <f>AA26*$C$6*$AE$24</f>
        <v>0</v>
      </c>
      <c r="AD26" s="23">
        <f>AC26*$C$6*$AE$24</f>
        <v>0</v>
      </c>
    </row>
    <row r="27" spans="4:31" ht="14.25" customHeight="1" x14ac:dyDescent="0.35">
      <c r="F27" s="2" t="s">
        <v>23</v>
      </c>
      <c r="J27" s="23">
        <f>I27*$C$7*$AE$24</f>
        <v>0</v>
      </c>
      <c r="L27" s="23">
        <f>K27*$C$7*$AE$24</f>
        <v>0</v>
      </c>
      <c r="N27" s="23">
        <f>M27*$C$7*$AE$24</f>
        <v>0</v>
      </c>
      <c r="P27" s="23">
        <f>O27*$C$7*$AE$24</f>
        <v>0</v>
      </c>
      <c r="R27" s="23">
        <f>Q27*$C$7*$AE$24</f>
        <v>0</v>
      </c>
      <c r="T27" s="23">
        <f>S27*$C$7*$AE$24</f>
        <v>0</v>
      </c>
      <c r="V27" s="23">
        <f>U27*$C$7*$AE$24</f>
        <v>0</v>
      </c>
      <c r="X27" s="23">
        <f>W27*$C$7*$AE$24</f>
        <v>0</v>
      </c>
      <c r="Z27" s="23">
        <f>Y27*$C$7*$AE$24</f>
        <v>0</v>
      </c>
      <c r="AB27" s="23">
        <f>AA27*$C$7*$AE$24</f>
        <v>0</v>
      </c>
      <c r="AD27" s="23">
        <f>AC27*$C$7*$AE$24</f>
        <v>0</v>
      </c>
    </row>
    <row r="28" spans="4:31" ht="14.25" customHeight="1" x14ac:dyDescent="0.35">
      <c r="E28" s="2" t="s">
        <v>49</v>
      </c>
      <c r="F28" s="2" t="s">
        <v>47</v>
      </c>
      <c r="I28" s="2">
        <v>1</v>
      </c>
      <c r="J28" s="23">
        <f>I28*$C$5*$AE$24</f>
        <v>1.75</v>
      </c>
      <c r="L28" s="23">
        <f>K28*$C$5*$AE$24</f>
        <v>0</v>
      </c>
      <c r="M28" s="2">
        <v>1</v>
      </c>
      <c r="N28" s="23">
        <f>M28*$C$5*$AE$24</f>
        <v>1.75</v>
      </c>
      <c r="P28" s="23">
        <f>O28*$C$5*$AE$24</f>
        <v>0</v>
      </c>
      <c r="R28" s="23">
        <f>Q28*$C$5*$AE$24</f>
        <v>0</v>
      </c>
      <c r="T28" s="23">
        <f>S28*$C$5*$AE$24</f>
        <v>0</v>
      </c>
      <c r="V28" s="23">
        <f>U28*$C$5*$AE$24</f>
        <v>0</v>
      </c>
      <c r="X28" s="23">
        <f>W28*$C$5*$AE$24</f>
        <v>0</v>
      </c>
      <c r="Z28" s="23">
        <f>Y28*$C$5*$AE$24</f>
        <v>0</v>
      </c>
      <c r="AB28" s="23">
        <f>AA28*$C$5*$AE$24</f>
        <v>0</v>
      </c>
      <c r="AD28" s="23">
        <f>AC28*$C$5*$AE$24</f>
        <v>0</v>
      </c>
    </row>
    <row r="29" spans="4:31" ht="14.25" customHeight="1" x14ac:dyDescent="0.35">
      <c r="F29" s="2" t="s">
        <v>5</v>
      </c>
      <c r="J29" s="23">
        <f>I29*$C$6*$AE$24</f>
        <v>0</v>
      </c>
      <c r="L29" s="23">
        <f>K29*$C$6*$AE$24</f>
        <v>0</v>
      </c>
      <c r="N29" s="23">
        <f>M29*$C$6*$AE$24</f>
        <v>0</v>
      </c>
      <c r="P29" s="23">
        <f>O29*$C$6*$AE$24</f>
        <v>0</v>
      </c>
      <c r="R29" s="23">
        <f>Q29*$C$6*$AE$24</f>
        <v>0</v>
      </c>
      <c r="T29" s="23">
        <f>S29*$C$6*$AE$24</f>
        <v>0</v>
      </c>
      <c r="V29" s="23">
        <f>U29*$C$6*$AE$24</f>
        <v>0</v>
      </c>
      <c r="X29" s="23">
        <f>W29*$C$6*$AE$24</f>
        <v>0</v>
      </c>
      <c r="Z29" s="23">
        <f>Y29*$C$6*$AE$24</f>
        <v>0</v>
      </c>
      <c r="AA29" s="2">
        <v>1</v>
      </c>
      <c r="AB29" s="23">
        <f>AA29*$C$6*$AE$24</f>
        <v>0.875</v>
      </c>
      <c r="AD29" s="23">
        <f>AC29*$C$6*$AE$24</f>
        <v>0</v>
      </c>
    </row>
    <row r="30" spans="4:31" ht="14.25" customHeight="1" x14ac:dyDescent="0.35">
      <c r="F30" s="2" t="s">
        <v>23</v>
      </c>
      <c r="J30" s="23">
        <f>I30*$C$7*$AE$24</f>
        <v>0</v>
      </c>
      <c r="L30" s="23">
        <f>K30*$C$7*$AE$24</f>
        <v>0</v>
      </c>
      <c r="N30" s="23">
        <f>M30*$C$7*$AE$24</f>
        <v>0</v>
      </c>
      <c r="P30" s="23">
        <f>O30*$C$7*$AE$24</f>
        <v>0</v>
      </c>
      <c r="R30" s="23">
        <f>Q30*$C$7*$AE$24</f>
        <v>0</v>
      </c>
      <c r="T30" s="23">
        <f>S30*$C$7*$AE$24</f>
        <v>0</v>
      </c>
      <c r="V30" s="23">
        <f>U30*$C$7*$AE$24</f>
        <v>0</v>
      </c>
      <c r="X30" s="23">
        <f>W30*$C$7*$AE$24</f>
        <v>0</v>
      </c>
      <c r="Z30" s="23">
        <f>Y30*$C$7*$AE$24</f>
        <v>0</v>
      </c>
      <c r="AB30" s="23">
        <f>AA30*$C$7*$AE$24</f>
        <v>0</v>
      </c>
      <c r="AD30" s="23">
        <f>AC30*$C$7*$AE$24</f>
        <v>0</v>
      </c>
    </row>
    <row r="31" spans="4:31" ht="14.25" customHeight="1" x14ac:dyDescent="0.45">
      <c r="F31" s="15" t="s">
        <v>51</v>
      </c>
      <c r="J31" s="24">
        <f>SUM(J25:J30)</f>
        <v>3.5</v>
      </c>
      <c r="L31" s="24">
        <f>SUM(L25:L30)</f>
        <v>0</v>
      </c>
      <c r="M31" s="25"/>
      <c r="N31" s="24">
        <f>SUM(N25:N30)</f>
        <v>3.5</v>
      </c>
      <c r="O31" s="25"/>
      <c r="P31" s="24">
        <f>SUM(P25:P30)</f>
        <v>0.875</v>
      </c>
      <c r="Q31" s="25"/>
      <c r="R31" s="24">
        <f>SUM(R25:R30)</f>
        <v>0</v>
      </c>
      <c r="S31" s="25"/>
      <c r="T31" s="24">
        <f>SUM(T25:T30)</f>
        <v>0</v>
      </c>
      <c r="U31" s="25"/>
      <c r="V31" s="24">
        <f>SUM(V25:V30)</f>
        <v>0</v>
      </c>
      <c r="W31" s="25"/>
      <c r="X31" s="24">
        <f>SUM(X25:X30)</f>
        <v>0</v>
      </c>
      <c r="Y31" s="25"/>
      <c r="Z31" s="24">
        <f>SUM(Z25:Z30)</f>
        <v>0</v>
      </c>
      <c r="AA31" s="25"/>
      <c r="AB31" s="24">
        <f>SUM(AB25:AB30)</f>
        <v>0.875</v>
      </c>
      <c r="AC31" s="25"/>
      <c r="AD31" s="24">
        <f>SUM(AD25:AD30)</f>
        <v>0</v>
      </c>
    </row>
    <row r="32" spans="4:31" ht="14.25" customHeight="1" x14ac:dyDescent="0.35"/>
    <row r="33" spans="4:31" ht="14.25" customHeight="1" x14ac:dyDescent="0.35">
      <c r="I33" s="160" t="s">
        <v>16</v>
      </c>
      <c r="J33" s="161"/>
      <c r="K33" s="160" t="s">
        <v>14</v>
      </c>
      <c r="L33" s="161"/>
      <c r="M33" s="160" t="s">
        <v>20</v>
      </c>
      <c r="N33" s="161"/>
      <c r="O33" s="160" t="s">
        <v>25</v>
      </c>
      <c r="P33" s="161"/>
      <c r="Q33" s="160" t="s">
        <v>26</v>
      </c>
      <c r="R33" s="161"/>
      <c r="S33" s="160" t="s">
        <v>27</v>
      </c>
      <c r="T33" s="161"/>
      <c r="U33" s="160" t="s">
        <v>28</v>
      </c>
      <c r="V33" s="161"/>
      <c r="W33" s="160" t="s">
        <v>41</v>
      </c>
      <c r="X33" s="161"/>
      <c r="Y33" s="160" t="s">
        <v>30</v>
      </c>
      <c r="Z33" s="161"/>
      <c r="AA33" s="160" t="s">
        <v>22</v>
      </c>
      <c r="AB33" s="161"/>
      <c r="AC33" s="160"/>
      <c r="AD33" s="161"/>
      <c r="AE33" s="2" t="s">
        <v>42</v>
      </c>
    </row>
    <row r="34" spans="4:31" ht="14.25" customHeight="1" x14ac:dyDescent="0.35">
      <c r="D34" s="2" t="s">
        <v>58</v>
      </c>
      <c r="E34" s="2" t="s">
        <v>44</v>
      </c>
      <c r="I34" s="160">
        <v>1</v>
      </c>
      <c r="J34" s="161"/>
      <c r="K34" s="160">
        <v>1</v>
      </c>
      <c r="L34" s="161"/>
      <c r="M34" s="160"/>
      <c r="N34" s="161"/>
      <c r="O34" s="160">
        <v>1</v>
      </c>
      <c r="P34" s="161"/>
      <c r="Q34" s="160">
        <v>1</v>
      </c>
      <c r="R34" s="161"/>
      <c r="S34" s="160"/>
      <c r="T34" s="161"/>
      <c r="U34" s="160"/>
      <c r="V34" s="161"/>
      <c r="W34" s="160">
        <v>1</v>
      </c>
      <c r="X34" s="161"/>
      <c r="Y34" s="160"/>
      <c r="Z34" s="161"/>
      <c r="AA34" s="160">
        <v>1</v>
      </c>
      <c r="AB34" s="161"/>
      <c r="AC34" s="160"/>
      <c r="AD34" s="161"/>
      <c r="AE34" s="22">
        <f>SUM(I34:AB34)</f>
        <v>6</v>
      </c>
    </row>
    <row r="35" spans="4:31" ht="14.25" customHeight="1" x14ac:dyDescent="0.35">
      <c r="E35" s="2" t="s">
        <v>46</v>
      </c>
      <c r="F35" s="2" t="s">
        <v>47</v>
      </c>
      <c r="J35" s="23">
        <f>I35*$C$5*$AE$34</f>
        <v>0</v>
      </c>
      <c r="L35" s="23">
        <f>K35*$C$5*$AE$34</f>
        <v>0</v>
      </c>
      <c r="N35" s="23">
        <f>M35*$C$5*$AE$34</f>
        <v>0</v>
      </c>
      <c r="P35" s="23">
        <f>O35*$C$5*$AE$34</f>
        <v>0</v>
      </c>
      <c r="Q35" s="2">
        <v>1</v>
      </c>
      <c r="R35" s="23">
        <f>Q35*$C$5*$AE$34</f>
        <v>1.5</v>
      </c>
      <c r="T35" s="23">
        <f>S35*$C$5*$AE$34</f>
        <v>0</v>
      </c>
      <c r="V35" s="23">
        <f>U35*$C$5*$AE$34</f>
        <v>0</v>
      </c>
      <c r="X35" s="23">
        <f>W35*$C$5*$AE$34</f>
        <v>0</v>
      </c>
      <c r="Z35" s="23">
        <f>Y35*$C$5*$AE$34</f>
        <v>0</v>
      </c>
      <c r="AA35" s="2">
        <v>1</v>
      </c>
      <c r="AB35" s="23">
        <f>AA35*$C$5*$AE$34</f>
        <v>1.5</v>
      </c>
      <c r="AD35" s="23">
        <f>AC35*$C$5*$AE$34</f>
        <v>0</v>
      </c>
    </row>
    <row r="36" spans="4:31" ht="14.25" customHeight="1" x14ac:dyDescent="0.35">
      <c r="F36" s="2" t="s">
        <v>5</v>
      </c>
      <c r="J36" s="23">
        <f>I36*$C$6*$AE$34</f>
        <v>0</v>
      </c>
      <c r="L36" s="23">
        <f>K36*$C$6*$AE$34</f>
        <v>0</v>
      </c>
      <c r="N36" s="23">
        <f>M36*$C$6*$AE$34</f>
        <v>0</v>
      </c>
      <c r="P36" s="23">
        <f>O36*$C$6*$AE$34</f>
        <v>0</v>
      </c>
      <c r="R36" s="23">
        <f>Q36*$C$6*$AE$34</f>
        <v>0</v>
      </c>
      <c r="T36" s="23">
        <f>S36*$C$6*$AE$34</f>
        <v>0</v>
      </c>
      <c r="V36" s="23">
        <f>U36*$C$6*$AE$34</f>
        <v>0</v>
      </c>
      <c r="X36" s="23">
        <f>W36*$C$6*$AE$34</f>
        <v>0</v>
      </c>
      <c r="Z36" s="23">
        <f>Y36*$C$6*$AE$34</f>
        <v>0</v>
      </c>
      <c r="AB36" s="23">
        <f>AA36*$C$6*$AE$34</f>
        <v>0</v>
      </c>
      <c r="AD36" s="23">
        <f>AC36*$C$6*$AE$34</f>
        <v>0</v>
      </c>
    </row>
    <row r="37" spans="4:31" ht="14.25" customHeight="1" x14ac:dyDescent="0.35">
      <c r="F37" s="2" t="s">
        <v>23</v>
      </c>
      <c r="J37" s="23">
        <f>I37*$C$7*$AE$34</f>
        <v>0</v>
      </c>
      <c r="L37" s="23">
        <f>K37*$C$7*$AE$34</f>
        <v>0</v>
      </c>
      <c r="N37" s="23">
        <f>M37*$C$7*$AE$34</f>
        <v>0</v>
      </c>
      <c r="P37" s="23">
        <f>O37*$C$7*$AE$34</f>
        <v>0</v>
      </c>
      <c r="R37" s="23">
        <f>Q37*$C$7*$AE$34</f>
        <v>0</v>
      </c>
      <c r="T37" s="23">
        <f>S37*$C$7*$AE$34</f>
        <v>0</v>
      </c>
      <c r="V37" s="23">
        <f>U37*$C$7*$AE$34</f>
        <v>0</v>
      </c>
      <c r="X37" s="23">
        <f>W37*$C$7*$AE$34</f>
        <v>0</v>
      </c>
      <c r="Z37" s="23">
        <f>Y37*$C$7*$AE$34</f>
        <v>0</v>
      </c>
      <c r="AB37" s="23">
        <f>AA37*$C$7*$AE$34</f>
        <v>0</v>
      </c>
      <c r="AD37" s="23">
        <f>AC37*$C$7*$AE$34</f>
        <v>0</v>
      </c>
    </row>
    <row r="38" spans="4:31" ht="14.25" customHeight="1" x14ac:dyDescent="0.35">
      <c r="E38" s="2" t="s">
        <v>49</v>
      </c>
      <c r="F38" s="2" t="s">
        <v>47</v>
      </c>
      <c r="J38" s="23">
        <f>I38*$C$5*$AE$34</f>
        <v>0</v>
      </c>
      <c r="L38" s="23">
        <f>K38*$C$5*$AE$34</f>
        <v>0</v>
      </c>
      <c r="N38" s="23">
        <f>M38*$C$5*$AE$34</f>
        <v>0</v>
      </c>
      <c r="P38" s="23">
        <f>O38*$C$5*$AE$34</f>
        <v>0</v>
      </c>
      <c r="Q38" s="2">
        <v>1</v>
      </c>
      <c r="R38" s="23">
        <f>Q38*$C$5*$AE$34</f>
        <v>1.5</v>
      </c>
      <c r="T38" s="23">
        <f>S38*$C$5*$AE$34</f>
        <v>0</v>
      </c>
      <c r="V38" s="23">
        <f>U38*$C$5*$AE$34</f>
        <v>0</v>
      </c>
      <c r="W38" s="2">
        <v>1</v>
      </c>
      <c r="X38" s="23">
        <f>W38*$C$5*$AE$34</f>
        <v>1.5</v>
      </c>
      <c r="Z38" s="23">
        <f>Y38*$C$5*$AE$34</f>
        <v>0</v>
      </c>
      <c r="AB38" s="23">
        <f>AA38*$C$5*$AE$34</f>
        <v>0</v>
      </c>
      <c r="AD38" s="23">
        <f>AC38*$C$5*$AE$34</f>
        <v>0</v>
      </c>
    </row>
    <row r="39" spans="4:31" ht="14.25" customHeight="1" x14ac:dyDescent="0.35">
      <c r="F39" s="2" t="s">
        <v>5</v>
      </c>
      <c r="I39" s="2">
        <v>1</v>
      </c>
      <c r="J39" s="23">
        <f>I39*$C$6*$AE$34</f>
        <v>0.75</v>
      </c>
      <c r="L39" s="23">
        <f>K39*$C$6*$AE$34</f>
        <v>0</v>
      </c>
      <c r="N39" s="23">
        <f>M39*$C$6*$AE$34</f>
        <v>0</v>
      </c>
      <c r="P39" s="23">
        <f>O39*$C$6*$AE$34</f>
        <v>0</v>
      </c>
      <c r="R39" s="23">
        <f>Q39*$C$6*$AE$34</f>
        <v>0</v>
      </c>
      <c r="T39" s="23">
        <f>S39*$C$6*$AE$34</f>
        <v>0</v>
      </c>
      <c r="V39" s="23">
        <f>U39*$C$6*$AE$34</f>
        <v>0</v>
      </c>
      <c r="X39" s="23">
        <f>W39*$C$6*$AE$34</f>
        <v>0</v>
      </c>
      <c r="Z39" s="23">
        <f>Y39*$C$6*$AE$34</f>
        <v>0</v>
      </c>
      <c r="AA39" s="2">
        <v>1</v>
      </c>
      <c r="AB39" s="23">
        <f>AA39*$C$6*$AE$34</f>
        <v>0.75</v>
      </c>
      <c r="AD39" s="23">
        <f>AC39*$C$6*$AE$34</f>
        <v>0</v>
      </c>
    </row>
    <row r="40" spans="4:31" ht="14.25" customHeight="1" x14ac:dyDescent="0.35">
      <c r="F40" s="2" t="s">
        <v>23</v>
      </c>
      <c r="J40" s="23">
        <f>I40*$C$7*$AE$34</f>
        <v>0</v>
      </c>
      <c r="L40" s="23">
        <f>K40*$C$7*$AE$34</f>
        <v>0</v>
      </c>
      <c r="N40" s="23">
        <f>M40*$C$7*$AE$34</f>
        <v>0</v>
      </c>
      <c r="P40" s="23">
        <f>O40*$C$7*$AE$34</f>
        <v>0</v>
      </c>
      <c r="R40" s="23">
        <f>Q40*$C$7*$AE$34</f>
        <v>0</v>
      </c>
      <c r="T40" s="23">
        <f>S40*$C$7*$AE$34</f>
        <v>0</v>
      </c>
      <c r="V40" s="23">
        <f>U40*$C$7*$AE$34</f>
        <v>0</v>
      </c>
      <c r="X40" s="23">
        <f>W40*$C$7*$AE$34</f>
        <v>0</v>
      </c>
      <c r="Z40" s="23">
        <f>Y40*$C$7*$AE$34</f>
        <v>0</v>
      </c>
      <c r="AB40" s="23">
        <f>AA40*$C$7*$AE$34</f>
        <v>0</v>
      </c>
      <c r="AD40" s="23">
        <f>AC40*$C$7*$AE$34</f>
        <v>0</v>
      </c>
    </row>
    <row r="41" spans="4:31" ht="14.25" customHeight="1" x14ac:dyDescent="0.45">
      <c r="F41" s="15" t="s">
        <v>51</v>
      </c>
      <c r="J41" s="24">
        <f>SUM(J35:J40)</f>
        <v>0.75</v>
      </c>
      <c r="L41" s="24">
        <f>SUM(L35:L40)</f>
        <v>0</v>
      </c>
      <c r="M41" s="25"/>
      <c r="N41" s="24">
        <f>SUM(N35:N40)</f>
        <v>0</v>
      </c>
      <c r="O41" s="25"/>
      <c r="P41" s="24">
        <f>SUM(P35:P40)</f>
        <v>0</v>
      </c>
      <c r="Q41" s="25"/>
      <c r="R41" s="24">
        <f>SUM(R35:R40)</f>
        <v>3</v>
      </c>
      <c r="S41" s="25"/>
      <c r="T41" s="24">
        <f>SUM(T35:T40)</f>
        <v>0</v>
      </c>
      <c r="U41" s="25"/>
      <c r="V41" s="24">
        <f>SUM(V35:V40)</f>
        <v>0</v>
      </c>
      <c r="W41" s="25"/>
      <c r="X41" s="24">
        <f>SUM(X35:X40)</f>
        <v>1.5</v>
      </c>
      <c r="Y41" s="25"/>
      <c r="Z41" s="24">
        <f>SUM(Z35:Z40)</f>
        <v>0</v>
      </c>
      <c r="AA41" s="25"/>
      <c r="AB41" s="24">
        <f>SUM(AB35:AB40)</f>
        <v>2.25</v>
      </c>
      <c r="AC41" s="25"/>
      <c r="AD41" s="24">
        <f>SUM(AD35:AD40)</f>
        <v>0</v>
      </c>
    </row>
    <row r="42" spans="4:31" ht="14.25" customHeight="1" x14ac:dyDescent="0.35"/>
    <row r="43" spans="4:31" ht="14.25" customHeight="1" x14ac:dyDescent="0.35">
      <c r="I43" s="160" t="s">
        <v>16</v>
      </c>
      <c r="J43" s="161"/>
      <c r="K43" s="160" t="s">
        <v>14</v>
      </c>
      <c r="L43" s="161"/>
      <c r="M43" s="160" t="s">
        <v>20</v>
      </c>
      <c r="N43" s="161"/>
      <c r="O43" s="160" t="s">
        <v>25</v>
      </c>
      <c r="P43" s="161"/>
      <c r="Q43" s="160" t="s">
        <v>26</v>
      </c>
      <c r="R43" s="161"/>
      <c r="S43" s="160" t="s">
        <v>27</v>
      </c>
      <c r="T43" s="161"/>
      <c r="U43" s="160" t="s">
        <v>28</v>
      </c>
      <c r="V43" s="161"/>
      <c r="W43" s="160" t="s">
        <v>41</v>
      </c>
      <c r="X43" s="161"/>
      <c r="Y43" s="160" t="s">
        <v>30</v>
      </c>
      <c r="Z43" s="161"/>
      <c r="AA43" s="160" t="s">
        <v>22</v>
      </c>
      <c r="AB43" s="161"/>
      <c r="AC43" s="160"/>
      <c r="AD43" s="161"/>
      <c r="AE43" s="2" t="s">
        <v>42</v>
      </c>
    </row>
    <row r="44" spans="4:31" ht="14.25" customHeight="1" x14ac:dyDescent="0.35">
      <c r="D44" s="2" t="s">
        <v>61</v>
      </c>
      <c r="E44" s="2" t="s">
        <v>44</v>
      </c>
      <c r="I44" s="160">
        <v>1</v>
      </c>
      <c r="J44" s="161"/>
      <c r="K44" s="160">
        <v>1</v>
      </c>
      <c r="L44" s="161"/>
      <c r="M44" s="160"/>
      <c r="N44" s="161"/>
      <c r="O44" s="160">
        <v>1</v>
      </c>
      <c r="P44" s="161"/>
      <c r="Q44" s="160"/>
      <c r="R44" s="161"/>
      <c r="S44" s="160">
        <v>1</v>
      </c>
      <c r="T44" s="161"/>
      <c r="U44" s="160"/>
      <c r="V44" s="161"/>
      <c r="W44" s="160">
        <v>1</v>
      </c>
      <c r="X44" s="161"/>
      <c r="Y44" s="160"/>
      <c r="Z44" s="161"/>
      <c r="AA44" s="160">
        <v>1</v>
      </c>
      <c r="AB44" s="161"/>
      <c r="AC44" s="160"/>
      <c r="AD44" s="161"/>
      <c r="AE44" s="22">
        <f>SUM(I44:AB44)</f>
        <v>6</v>
      </c>
    </row>
    <row r="45" spans="4:31" ht="14.25" customHeight="1" x14ac:dyDescent="0.35">
      <c r="E45" s="2" t="s">
        <v>46</v>
      </c>
      <c r="F45" s="2" t="s">
        <v>47</v>
      </c>
      <c r="J45" s="23">
        <f>I45*$C$5*$AE$44</f>
        <v>0</v>
      </c>
      <c r="K45" s="2">
        <v>1</v>
      </c>
      <c r="L45" s="23">
        <f>K45*$C$5*$AE$44</f>
        <v>1.5</v>
      </c>
      <c r="N45" s="23">
        <f>M45*$C$5*$AE$44</f>
        <v>0</v>
      </c>
      <c r="P45" s="23">
        <f>O45*$C$5*$AE$44</f>
        <v>0</v>
      </c>
      <c r="R45" s="23">
        <f>Q45*$C$5*$AE$44</f>
        <v>0</v>
      </c>
      <c r="T45" s="23">
        <f>S45*$C$5*$AE$44</f>
        <v>0</v>
      </c>
      <c r="V45" s="23">
        <f>U45*$C$5*$AE$44</f>
        <v>0</v>
      </c>
      <c r="W45" s="2">
        <v>1</v>
      </c>
      <c r="X45" s="23">
        <f>W45*$C$5*$AE$44</f>
        <v>1.5</v>
      </c>
      <c r="Z45" s="23">
        <f>Y45*$C$5*$AE$44</f>
        <v>0</v>
      </c>
      <c r="AB45" s="23">
        <f>AA45*$C$5*$AE$44</f>
        <v>0</v>
      </c>
      <c r="AD45" s="23">
        <f>AC45*$C$5*$AE$44</f>
        <v>0</v>
      </c>
    </row>
    <row r="46" spans="4:31" ht="14.25" customHeight="1" x14ac:dyDescent="0.35">
      <c r="F46" s="2" t="s">
        <v>5</v>
      </c>
      <c r="J46" s="23">
        <f>I46*$C$6*$AE$44</f>
        <v>0</v>
      </c>
      <c r="L46" s="23">
        <f>K46*$C$6*$AE$44</f>
        <v>0</v>
      </c>
      <c r="N46" s="23">
        <f>M46*$C$6*$AE$44</f>
        <v>0</v>
      </c>
      <c r="O46" s="2">
        <v>1</v>
      </c>
      <c r="P46" s="23">
        <f>O46*$C$6*$AE$44</f>
        <v>0.75</v>
      </c>
      <c r="R46" s="23">
        <f>Q46*$C$6*$AE$44</f>
        <v>0</v>
      </c>
      <c r="T46" s="23">
        <f>S46*$C$6*$AE$44</f>
        <v>0</v>
      </c>
      <c r="V46" s="23">
        <f>U46*$C$6*$AE$44</f>
        <v>0</v>
      </c>
      <c r="X46" s="23">
        <f>W46*$C$6*$AE$44</f>
        <v>0</v>
      </c>
      <c r="Z46" s="23">
        <f>Y46*$C$6*$AE$44</f>
        <v>0</v>
      </c>
      <c r="AB46" s="23">
        <f>AA46*$C$6*$AE$44</f>
        <v>0</v>
      </c>
      <c r="AD46" s="23">
        <f>AC46*$C$6*$AE$44</f>
        <v>0</v>
      </c>
    </row>
    <row r="47" spans="4:31" ht="14.25" customHeight="1" x14ac:dyDescent="0.35">
      <c r="F47" s="2" t="s">
        <v>23</v>
      </c>
      <c r="J47" s="23">
        <f>I47*$C$7*$AE$44</f>
        <v>0</v>
      </c>
      <c r="L47" s="23">
        <f>K47*$C$7*$AE$44</f>
        <v>0</v>
      </c>
      <c r="N47" s="23">
        <f>M47*$C$7*$AE$44</f>
        <v>0</v>
      </c>
      <c r="P47" s="23">
        <f>O47*$C$7*$AE$44</f>
        <v>0</v>
      </c>
      <c r="R47" s="23">
        <f>Q47*$C$7*$AE$44</f>
        <v>0</v>
      </c>
      <c r="T47" s="23">
        <f>S47*$C$7*$AE$44</f>
        <v>0</v>
      </c>
      <c r="V47" s="23">
        <f>U47*$C$7*$AE$44</f>
        <v>0</v>
      </c>
      <c r="X47" s="23">
        <f>W47*$C$7*$AE$44</f>
        <v>0</v>
      </c>
      <c r="Z47" s="23">
        <f>Y47*$C$7*$AE$44</f>
        <v>0</v>
      </c>
      <c r="AB47" s="23">
        <f>AA47*$C$7*$AE$44</f>
        <v>0</v>
      </c>
      <c r="AD47" s="23">
        <f>AC47*$C$7*$AE$44</f>
        <v>0</v>
      </c>
    </row>
    <row r="48" spans="4:31" ht="14.25" customHeight="1" x14ac:dyDescent="0.35">
      <c r="E48" s="2" t="s">
        <v>49</v>
      </c>
      <c r="F48" s="2" t="s">
        <v>47</v>
      </c>
      <c r="J48" s="23">
        <f>I48*$C$5*$AE$44</f>
        <v>0</v>
      </c>
      <c r="L48" s="23">
        <f>K48*$C$5*$AE$44</f>
        <v>0</v>
      </c>
      <c r="N48" s="23">
        <f>M48*$C$5*$AE$44</f>
        <v>0</v>
      </c>
      <c r="O48" s="2">
        <v>1</v>
      </c>
      <c r="P48" s="23">
        <f>O48*$C$5*$AE$44</f>
        <v>1.5</v>
      </c>
      <c r="R48" s="23">
        <f>Q48*$C$5*$AE$44</f>
        <v>0</v>
      </c>
      <c r="T48" s="23">
        <f>S48*$C$5*$AE$44</f>
        <v>0</v>
      </c>
      <c r="V48" s="23">
        <f>U48*$C$5*$AE$44</f>
        <v>0</v>
      </c>
      <c r="X48" s="23">
        <f>W48*$C$5*$AE$44</f>
        <v>0</v>
      </c>
      <c r="Z48" s="23">
        <f>Y48*$C$5*$AE$44</f>
        <v>0</v>
      </c>
      <c r="AA48" s="2">
        <v>1</v>
      </c>
      <c r="AB48" s="23">
        <f>AA48*$C$5*$AE$44</f>
        <v>1.5</v>
      </c>
      <c r="AD48" s="23">
        <f>AC48*$C$5*$AE$44</f>
        <v>0</v>
      </c>
    </row>
    <row r="49" spans="4:31" ht="14.25" customHeight="1" x14ac:dyDescent="0.35">
      <c r="F49" s="2" t="s">
        <v>5</v>
      </c>
      <c r="J49" s="23">
        <f>I49*$C$6*$AE$44</f>
        <v>0</v>
      </c>
      <c r="K49" s="2">
        <v>1</v>
      </c>
      <c r="L49" s="23">
        <f>K49*$C$6*$AE$44</f>
        <v>0.75</v>
      </c>
      <c r="N49" s="23">
        <f>M49*$C$6*$AE$44</f>
        <v>0</v>
      </c>
      <c r="P49" s="23">
        <f>O49*$C$6*$AE$44</f>
        <v>0</v>
      </c>
      <c r="R49" s="23">
        <f>Q49*$C$6*$AE$44</f>
        <v>0</v>
      </c>
      <c r="T49" s="23">
        <f>S49*$C$6*$AE$44</f>
        <v>0</v>
      </c>
      <c r="V49" s="23">
        <f>U49*$C$6*$AE$44</f>
        <v>0</v>
      </c>
      <c r="X49" s="23">
        <f>W49*$C$6*$AE$44</f>
        <v>0</v>
      </c>
      <c r="Z49" s="23">
        <f>Y49*$C$6*$AE$44</f>
        <v>0</v>
      </c>
      <c r="AB49" s="23">
        <f>AA49*$C$6*$AE$44</f>
        <v>0</v>
      </c>
      <c r="AD49" s="23">
        <f>AC49*$C$6*$AE$44</f>
        <v>0</v>
      </c>
    </row>
    <row r="50" spans="4:31" ht="14.25" customHeight="1" x14ac:dyDescent="0.35">
      <c r="F50" s="2" t="s">
        <v>23</v>
      </c>
      <c r="J50" s="23">
        <f>I50*$C$7*$AE$44</f>
        <v>0</v>
      </c>
      <c r="L50" s="23">
        <f>K50*$C$7*$AE$44</f>
        <v>0</v>
      </c>
      <c r="N50" s="23">
        <f>M50*$C$7*$AE$44</f>
        <v>0</v>
      </c>
      <c r="P50" s="23">
        <f>O50*$C$7*$AE$44</f>
        <v>0</v>
      </c>
      <c r="R50" s="23">
        <f>Q50*$C$7*$AE$44</f>
        <v>0</v>
      </c>
      <c r="T50" s="23">
        <f>S50*$C$7*$AE$44</f>
        <v>0</v>
      </c>
      <c r="V50" s="23">
        <f>U50*$C$7*$AE$44</f>
        <v>0</v>
      </c>
      <c r="X50" s="23">
        <f>W50*$C$7*$AE$44</f>
        <v>0</v>
      </c>
      <c r="Z50" s="23">
        <f>Y50*$C$7*$AE$44</f>
        <v>0</v>
      </c>
      <c r="AB50" s="23">
        <f>AA50*$C$7*$AE$44</f>
        <v>0</v>
      </c>
      <c r="AD50" s="23">
        <f>AC50*$C$7*$AE$44</f>
        <v>0</v>
      </c>
    </row>
    <row r="51" spans="4:31" ht="14.25" customHeight="1" x14ac:dyDescent="0.45">
      <c r="F51" s="15" t="s">
        <v>51</v>
      </c>
      <c r="J51" s="24">
        <f>SUM(J45:J50)</f>
        <v>0</v>
      </c>
      <c r="L51" s="24">
        <f>SUM(L45:L50)</f>
        <v>2.25</v>
      </c>
      <c r="M51" s="25"/>
      <c r="N51" s="24">
        <f>SUM(N45:N50)</f>
        <v>0</v>
      </c>
      <c r="O51" s="25"/>
      <c r="P51" s="24">
        <f>SUM(P45:P50)</f>
        <v>2.25</v>
      </c>
      <c r="Q51" s="25"/>
      <c r="R51" s="24">
        <f>SUM(R45:R50)</f>
        <v>0</v>
      </c>
      <c r="S51" s="25"/>
      <c r="T51" s="24">
        <f>SUM(T45:T50)</f>
        <v>0</v>
      </c>
      <c r="U51" s="25"/>
      <c r="V51" s="24">
        <f>SUM(V45:V50)</f>
        <v>0</v>
      </c>
      <c r="W51" s="25"/>
      <c r="X51" s="24">
        <f>SUM(X45:X50)</f>
        <v>1.5</v>
      </c>
      <c r="Y51" s="25"/>
      <c r="Z51" s="24">
        <f>SUM(Z45:Z50)</f>
        <v>0</v>
      </c>
      <c r="AA51" s="25"/>
      <c r="AB51" s="24">
        <f>SUM(AB45:AB50)</f>
        <v>1.5</v>
      </c>
      <c r="AC51" s="25"/>
      <c r="AD51" s="24">
        <f>SUM(AD45:AD50)</f>
        <v>0</v>
      </c>
    </row>
    <row r="52" spans="4:31" ht="14.25" customHeight="1" x14ac:dyDescent="0.35"/>
    <row r="53" spans="4:31" ht="14.25" customHeight="1" x14ac:dyDescent="0.35">
      <c r="I53" s="160" t="s">
        <v>16</v>
      </c>
      <c r="J53" s="161"/>
      <c r="K53" s="160" t="s">
        <v>14</v>
      </c>
      <c r="L53" s="161"/>
      <c r="M53" s="160" t="s">
        <v>20</v>
      </c>
      <c r="N53" s="161"/>
      <c r="O53" s="160" t="s">
        <v>25</v>
      </c>
      <c r="P53" s="161"/>
      <c r="Q53" s="160" t="s">
        <v>26</v>
      </c>
      <c r="R53" s="161"/>
      <c r="S53" s="160" t="s">
        <v>27</v>
      </c>
      <c r="T53" s="161"/>
      <c r="U53" s="160" t="s">
        <v>28</v>
      </c>
      <c r="V53" s="161"/>
      <c r="W53" s="160" t="s">
        <v>41</v>
      </c>
      <c r="X53" s="161"/>
      <c r="Y53" s="160" t="s">
        <v>30</v>
      </c>
      <c r="Z53" s="161"/>
      <c r="AA53" s="160" t="s">
        <v>22</v>
      </c>
      <c r="AB53" s="161"/>
      <c r="AC53" s="160" t="s">
        <v>31</v>
      </c>
      <c r="AD53" s="161"/>
      <c r="AE53" s="2" t="s">
        <v>42</v>
      </c>
    </row>
    <row r="54" spans="4:31" ht="14.25" customHeight="1" x14ac:dyDescent="0.35">
      <c r="D54" s="2" t="s">
        <v>68</v>
      </c>
      <c r="E54" s="2" t="s">
        <v>44</v>
      </c>
      <c r="I54" s="160">
        <v>1</v>
      </c>
      <c r="J54" s="161"/>
      <c r="K54" s="160">
        <v>1</v>
      </c>
      <c r="L54" s="161"/>
      <c r="M54" s="160">
        <v>1</v>
      </c>
      <c r="N54" s="161"/>
      <c r="O54" s="160">
        <v>1</v>
      </c>
      <c r="P54" s="161"/>
      <c r="Q54" s="160">
        <v>1</v>
      </c>
      <c r="R54" s="161"/>
      <c r="S54" s="160">
        <v>1</v>
      </c>
      <c r="T54" s="161"/>
      <c r="U54" s="160">
        <v>1</v>
      </c>
      <c r="V54" s="161"/>
      <c r="W54" s="160">
        <v>1</v>
      </c>
      <c r="X54" s="161"/>
      <c r="Y54" s="160"/>
      <c r="Z54" s="161"/>
      <c r="AA54" s="160">
        <v>1</v>
      </c>
      <c r="AB54" s="161"/>
      <c r="AC54" s="160">
        <v>1</v>
      </c>
      <c r="AD54" s="161"/>
      <c r="AE54" s="22">
        <f>SUM(I54:AD54)</f>
        <v>10</v>
      </c>
    </row>
    <row r="55" spans="4:31" ht="14.25" customHeight="1" x14ac:dyDescent="0.35">
      <c r="E55" s="2" t="s">
        <v>46</v>
      </c>
      <c r="F55" s="2" t="s">
        <v>47</v>
      </c>
      <c r="J55" s="23">
        <f>I55*$C$5*$AE$54</f>
        <v>0</v>
      </c>
      <c r="K55" s="2">
        <v>1</v>
      </c>
      <c r="L55" s="23">
        <f>K55*$C$5*$AE$54</f>
        <v>2.5</v>
      </c>
      <c r="N55" s="23">
        <f>M55*$C$5*$AE$54</f>
        <v>0</v>
      </c>
      <c r="P55" s="23">
        <f>O55*$C$5*$AE$54</f>
        <v>0</v>
      </c>
      <c r="R55" s="23">
        <f>Q55*$C$5*$AE$54</f>
        <v>0</v>
      </c>
      <c r="T55" s="23">
        <f>S55*$C$5*$AE$54</f>
        <v>0</v>
      </c>
      <c r="V55" s="23">
        <f>U55*$C$5*$AE$54</f>
        <v>0</v>
      </c>
      <c r="X55" s="23">
        <f>W55*$C$5*$AE$54</f>
        <v>0</v>
      </c>
      <c r="Z55" s="23">
        <f>Y55*$C$5*$AE$54</f>
        <v>0</v>
      </c>
      <c r="AA55" s="2">
        <v>1</v>
      </c>
      <c r="AB55" s="23">
        <f>AA55*$C$5*$AE$54</f>
        <v>2.5</v>
      </c>
      <c r="AD55" s="23">
        <f>AC55*$C$5*$AE$54</f>
        <v>0</v>
      </c>
    </row>
    <row r="56" spans="4:31" ht="14.25" customHeight="1" x14ac:dyDescent="0.35">
      <c r="F56" s="2" t="s">
        <v>5</v>
      </c>
      <c r="J56" s="23">
        <f>I56*$C$6*$AE$54</f>
        <v>0</v>
      </c>
      <c r="L56" s="23">
        <f>K56*$C$6*$AE$54</f>
        <v>0</v>
      </c>
      <c r="M56" s="2">
        <v>1</v>
      </c>
      <c r="N56" s="23">
        <f>M56*$C$6*$AE$54</f>
        <v>1.25</v>
      </c>
      <c r="P56" s="23">
        <f>O56*$C$6*$AE$54</f>
        <v>0</v>
      </c>
      <c r="R56" s="23">
        <f>Q56*$C$6*$AE$54</f>
        <v>0</v>
      </c>
      <c r="T56" s="23">
        <f>S56*$C$6*$AE$54</f>
        <v>0</v>
      </c>
      <c r="V56" s="23">
        <f>U56*$C$6*$AE$54</f>
        <v>0</v>
      </c>
      <c r="X56" s="23">
        <f>W56*$C$6*$AE$54</f>
        <v>0</v>
      </c>
      <c r="Z56" s="23">
        <f>Y56*$C$6*$AE$54</f>
        <v>0</v>
      </c>
      <c r="AB56" s="23">
        <f>AA56*$C$6*$AE$54</f>
        <v>0</v>
      </c>
      <c r="AD56" s="23">
        <f>AC56*$C$6*$AE$54</f>
        <v>0</v>
      </c>
    </row>
    <row r="57" spans="4:31" ht="14.25" customHeight="1" x14ac:dyDescent="0.35">
      <c r="F57" s="2" t="s">
        <v>23</v>
      </c>
      <c r="J57" s="23">
        <f>I57*$C$7*$AE$54</f>
        <v>0</v>
      </c>
      <c r="L57" s="23">
        <f>K57*$C$7*$AE$54</f>
        <v>0</v>
      </c>
      <c r="N57" s="23">
        <f>M57*$C$7*$AE$54</f>
        <v>0</v>
      </c>
      <c r="O57" s="2">
        <v>1</v>
      </c>
      <c r="P57" s="23">
        <f>O57*$C$7*$AE$54</f>
        <v>0.83333333333333326</v>
      </c>
      <c r="R57" s="23">
        <f>Q57*$C$7*$AE$54</f>
        <v>0</v>
      </c>
      <c r="T57" s="23">
        <f>S57*$C$7*$AE$54</f>
        <v>0</v>
      </c>
      <c r="V57" s="23">
        <f>U57*$C$7*$AE$54</f>
        <v>0</v>
      </c>
      <c r="X57" s="23">
        <f>W57*$C$7*$AE$54</f>
        <v>0</v>
      </c>
      <c r="Z57" s="23">
        <f>Y57*$C$7*$AE$54</f>
        <v>0</v>
      </c>
      <c r="AB57" s="23">
        <f>AA57*$C$7*$AE$54</f>
        <v>0</v>
      </c>
      <c r="AD57" s="23">
        <f>AC57*$C$7*$AE$54</f>
        <v>0</v>
      </c>
    </row>
    <row r="58" spans="4:31" ht="14.25" customHeight="1" x14ac:dyDescent="0.35">
      <c r="F58" s="2" t="s">
        <v>72</v>
      </c>
      <c r="G58" s="2" t="s">
        <v>73</v>
      </c>
      <c r="I58" s="2">
        <v>1</v>
      </c>
      <c r="J58" s="23">
        <f>(I58*$C$8*$AE$54)/2</f>
        <v>0.3125</v>
      </c>
      <c r="L58" s="23">
        <f>K58*$C$8*$AE$54</f>
        <v>0</v>
      </c>
      <c r="N58" s="23">
        <f>M58*$C$8*$AE$54</f>
        <v>0</v>
      </c>
      <c r="P58" s="23">
        <f>O58*$C$8*$AE$54</f>
        <v>0</v>
      </c>
      <c r="Q58" s="2">
        <v>1</v>
      </c>
      <c r="R58" s="23">
        <f>(Q58*$C$8*$AE$54)/2</f>
        <v>0.3125</v>
      </c>
      <c r="T58" s="23">
        <f>S58*$C$8*$AE$54</f>
        <v>0</v>
      </c>
      <c r="V58" s="23">
        <f>U58*$C$8*$AE$54</f>
        <v>0</v>
      </c>
      <c r="X58" s="23">
        <f>W58*$C$8*$AE$54</f>
        <v>0</v>
      </c>
      <c r="Z58" s="23">
        <f>Y58*$C$8*$AE$54</f>
        <v>0</v>
      </c>
      <c r="AB58" s="23">
        <f>AA58*$C$8*$AE$54</f>
        <v>0</v>
      </c>
      <c r="AD58" s="23">
        <f>AC58*$C$8*$AE$54</f>
        <v>0</v>
      </c>
    </row>
    <row r="59" spans="4:31" ht="14.25" customHeight="1" x14ac:dyDescent="0.35">
      <c r="E59" s="2" t="s">
        <v>49</v>
      </c>
      <c r="F59" s="2" t="s">
        <v>47</v>
      </c>
      <c r="J59" s="23">
        <f>I59*$C$5*$AE$54</f>
        <v>0</v>
      </c>
      <c r="L59" s="23">
        <f>K59*$C$5*$AE$54</f>
        <v>0</v>
      </c>
      <c r="N59" s="23">
        <f>M59*$C$5*$AE$54</f>
        <v>0</v>
      </c>
      <c r="P59" s="23">
        <f>O59*$C$5*$AE$54</f>
        <v>0</v>
      </c>
      <c r="R59" s="23">
        <f>Q59*$C$5*$AE$54</f>
        <v>0</v>
      </c>
      <c r="T59" s="23">
        <f>S59*$C$5*$AE$54</f>
        <v>0</v>
      </c>
      <c r="U59" s="2">
        <v>1</v>
      </c>
      <c r="V59" s="23">
        <f>U59*$C$5*$AE$54</f>
        <v>2.5</v>
      </c>
      <c r="W59" s="2">
        <v>1</v>
      </c>
      <c r="X59" s="23">
        <f>W59*$C$5*$AE$54</f>
        <v>2.5</v>
      </c>
      <c r="Z59" s="23">
        <f>Y59*$C$5*$AE$54</f>
        <v>0</v>
      </c>
      <c r="AB59" s="23">
        <f>AA59*$C$5*$AE$54</f>
        <v>0</v>
      </c>
      <c r="AD59" s="23">
        <f>AC59*$C$5*$AE$54</f>
        <v>0</v>
      </c>
    </row>
    <row r="60" spans="4:31" ht="14.25" customHeight="1" x14ac:dyDescent="0.35">
      <c r="F60" s="2" t="s">
        <v>5</v>
      </c>
      <c r="J60" s="23">
        <f>I60*$C$6*$AE$54</f>
        <v>0</v>
      </c>
      <c r="L60" s="23">
        <f>K60*$C$6*$AE$54</f>
        <v>0</v>
      </c>
      <c r="N60" s="23">
        <f>M60*$C$6*$AE$54</f>
        <v>0</v>
      </c>
      <c r="P60" s="23">
        <f>O60*$C$6*$AE$54</f>
        <v>0</v>
      </c>
      <c r="R60" s="23">
        <f>Q60*$C$6*$AE$54</f>
        <v>0</v>
      </c>
      <c r="T60" s="23">
        <f>S60*$C$6*$AE$54</f>
        <v>0</v>
      </c>
      <c r="V60" s="23">
        <f>U60*$C$6*$AE$54</f>
        <v>0</v>
      </c>
      <c r="X60" s="23">
        <f>W60*$C$6*$AE$54</f>
        <v>0</v>
      </c>
      <c r="Z60" s="23">
        <f>Y60*$C$6*$AE$54</f>
        <v>0</v>
      </c>
      <c r="AB60" s="23">
        <f>AA60*$C$6*$AE$54</f>
        <v>0</v>
      </c>
      <c r="AC60" s="2">
        <v>1</v>
      </c>
      <c r="AD60" s="23">
        <f>AC60*$C$6*$AE$54</f>
        <v>1.25</v>
      </c>
    </row>
    <row r="61" spans="4:31" ht="14.25" customHeight="1" x14ac:dyDescent="0.35">
      <c r="F61" s="2" t="s">
        <v>23</v>
      </c>
      <c r="J61" s="23">
        <f>I61*$C$7*$AE$54</f>
        <v>0</v>
      </c>
      <c r="L61" s="23">
        <f>K61*$C$7*$AE$54</f>
        <v>0</v>
      </c>
      <c r="N61" s="23">
        <f>M61*$C$7*$AE$54</f>
        <v>0</v>
      </c>
      <c r="O61" s="2">
        <v>1</v>
      </c>
      <c r="P61" s="23">
        <f>O61*$C$7*$AE$54</f>
        <v>0.83333333333333326</v>
      </c>
      <c r="R61" s="23">
        <f>Q61*$C$7*$AE$54</f>
        <v>0</v>
      </c>
      <c r="T61" s="23">
        <f>S61*$C$7*$AE$54</f>
        <v>0</v>
      </c>
      <c r="V61" s="23">
        <f>U61*$C$7*$AE$54</f>
        <v>0</v>
      </c>
      <c r="X61" s="23">
        <f>W61*$C$7*$AE$54</f>
        <v>0</v>
      </c>
      <c r="Z61" s="23">
        <f>Y61*$C$7*$AE$54</f>
        <v>0</v>
      </c>
      <c r="AB61" s="23">
        <f>AA61*$C$7*$AE$54</f>
        <v>0</v>
      </c>
      <c r="AD61" s="23">
        <f>AC61*$C$7*$AE$54</f>
        <v>0</v>
      </c>
    </row>
    <row r="62" spans="4:31" ht="14.25" customHeight="1" x14ac:dyDescent="0.35">
      <c r="F62" s="2" t="s">
        <v>72</v>
      </c>
      <c r="I62" s="2">
        <v>1</v>
      </c>
      <c r="J62" s="23">
        <f>I62*$C$8*$AE$54</f>
        <v>0.625</v>
      </c>
      <c r="L62" s="23">
        <f>K62*$C$8*$AE$54</f>
        <v>0</v>
      </c>
      <c r="N62" s="23">
        <f>M62*$C$8*$AE$54</f>
        <v>0</v>
      </c>
      <c r="P62" s="23">
        <f>O62*$C$8*$AE$54</f>
        <v>0</v>
      </c>
      <c r="R62" s="23">
        <f>Q62*$C$8*$AE$54</f>
        <v>0</v>
      </c>
      <c r="T62" s="23">
        <f>S62*$C$8*$AE$54</f>
        <v>0</v>
      </c>
      <c r="V62" s="23">
        <f>U62*$C$8*$AE$54</f>
        <v>0</v>
      </c>
      <c r="X62" s="23">
        <f>W62*$C$8*$AE$54</f>
        <v>0</v>
      </c>
      <c r="Z62" s="23">
        <f>Y62*$C$8*$AE$54</f>
        <v>0</v>
      </c>
      <c r="AB62" s="23">
        <f>AA62*$C$8*$AE$54</f>
        <v>0</v>
      </c>
      <c r="AD62" s="23">
        <f>AC62*$C$8*$AE$54</f>
        <v>0</v>
      </c>
    </row>
    <row r="63" spans="4:31" ht="14.25" customHeight="1" x14ac:dyDescent="0.45">
      <c r="F63" s="15" t="s">
        <v>51</v>
      </c>
      <c r="J63" s="24">
        <f>SUM(J55:J62)</f>
        <v>0.9375</v>
      </c>
      <c r="L63" s="24">
        <f>SUM(L55:L62)</f>
        <v>2.5</v>
      </c>
      <c r="M63" s="25"/>
      <c r="N63" s="24">
        <f>SUM(N55:N62)</f>
        <v>1.25</v>
      </c>
      <c r="O63" s="25"/>
      <c r="P63" s="24">
        <f>SUM(P55:P62)</f>
        <v>1.6666666666666665</v>
      </c>
      <c r="Q63" s="25"/>
      <c r="R63" s="24">
        <f>SUM(R55:R62)</f>
        <v>0.3125</v>
      </c>
      <c r="S63" s="25"/>
      <c r="T63" s="24">
        <f>SUM(T55:T62)</f>
        <v>0</v>
      </c>
      <c r="U63" s="25"/>
      <c r="V63" s="24">
        <f>SUM(V55:V62)</f>
        <v>2.5</v>
      </c>
      <c r="W63" s="25"/>
      <c r="X63" s="24">
        <f>SUM(X55:X62)</f>
        <v>2.5</v>
      </c>
      <c r="Y63" s="25"/>
      <c r="Z63" s="24">
        <f>SUM(Z55:Z62)</f>
        <v>0</v>
      </c>
      <c r="AA63" s="25"/>
      <c r="AB63" s="24">
        <f>SUM(AB55:AB62)</f>
        <v>2.5</v>
      </c>
      <c r="AC63" s="25"/>
      <c r="AD63" s="24">
        <f>SUM(AD55:AD62)</f>
        <v>1.25</v>
      </c>
    </row>
    <row r="64" spans="4:31" ht="14.25" customHeight="1" x14ac:dyDescent="0.35"/>
    <row r="65" spans="4:31" ht="14.25" customHeight="1" x14ac:dyDescent="0.35">
      <c r="I65" s="160" t="s">
        <v>16</v>
      </c>
      <c r="J65" s="161"/>
      <c r="K65" s="160" t="s">
        <v>14</v>
      </c>
      <c r="L65" s="161"/>
      <c r="M65" s="160" t="s">
        <v>20</v>
      </c>
      <c r="N65" s="161"/>
      <c r="O65" s="160" t="s">
        <v>25</v>
      </c>
      <c r="P65" s="161"/>
      <c r="Q65" s="160" t="s">
        <v>26</v>
      </c>
      <c r="R65" s="161"/>
      <c r="S65" s="160" t="s">
        <v>27</v>
      </c>
      <c r="T65" s="161"/>
      <c r="U65" s="160" t="s">
        <v>28</v>
      </c>
      <c r="V65" s="161"/>
      <c r="W65" s="160" t="s">
        <v>41</v>
      </c>
      <c r="X65" s="161"/>
      <c r="Y65" s="160" t="s">
        <v>30</v>
      </c>
      <c r="Z65" s="161"/>
      <c r="AA65" s="160" t="s">
        <v>22</v>
      </c>
      <c r="AB65" s="161"/>
      <c r="AC65" s="160" t="s">
        <v>31</v>
      </c>
      <c r="AD65" s="161"/>
      <c r="AE65" s="2" t="s">
        <v>42</v>
      </c>
    </row>
    <row r="66" spans="4:31" ht="14.25" customHeight="1" x14ac:dyDescent="0.35">
      <c r="D66" s="2" t="s">
        <v>76</v>
      </c>
      <c r="E66" s="2" t="s">
        <v>44</v>
      </c>
      <c r="I66" s="160">
        <v>1</v>
      </c>
      <c r="J66" s="161"/>
      <c r="K66" s="160">
        <v>1</v>
      </c>
      <c r="L66" s="161"/>
      <c r="M66" s="160">
        <v>1</v>
      </c>
      <c r="N66" s="161"/>
      <c r="O66" s="160">
        <v>1</v>
      </c>
      <c r="P66" s="161"/>
      <c r="Q66" s="160"/>
      <c r="R66" s="161"/>
      <c r="S66" s="160"/>
      <c r="T66" s="161"/>
      <c r="U66" s="160">
        <v>1</v>
      </c>
      <c r="V66" s="161"/>
      <c r="W66" s="160">
        <v>1</v>
      </c>
      <c r="X66" s="161"/>
      <c r="Y66" s="160"/>
      <c r="Z66" s="161"/>
      <c r="AA66" s="160">
        <v>1</v>
      </c>
      <c r="AB66" s="161"/>
      <c r="AC66" s="160">
        <v>1</v>
      </c>
      <c r="AD66" s="161"/>
      <c r="AE66" s="22">
        <f>SUM(I66:AD66)</f>
        <v>8</v>
      </c>
    </row>
    <row r="67" spans="4:31" ht="14.25" customHeight="1" x14ac:dyDescent="0.35">
      <c r="E67" s="2" t="s">
        <v>46</v>
      </c>
      <c r="F67" s="2" t="s">
        <v>47</v>
      </c>
      <c r="J67" s="23">
        <f>I67*$C$5*$AE$66</f>
        <v>0</v>
      </c>
      <c r="L67" s="23">
        <f>K67*$C$5*$AE$66</f>
        <v>0</v>
      </c>
      <c r="N67" s="23">
        <f>M67*$C$5*$AE$66</f>
        <v>0</v>
      </c>
      <c r="P67" s="23">
        <f>O67*$C$5*$AE$66</f>
        <v>0</v>
      </c>
      <c r="R67" s="23">
        <f>Q67*$C$5*$AE$66</f>
        <v>0</v>
      </c>
      <c r="T67" s="23">
        <f>S67*$C$5*$AE$66</f>
        <v>0</v>
      </c>
      <c r="U67" s="2">
        <v>1</v>
      </c>
      <c r="V67" s="23">
        <f>U67*$C$5*$AE$66</f>
        <v>2</v>
      </c>
      <c r="X67" s="23">
        <f>W67*$C$5*$AE$66</f>
        <v>0</v>
      </c>
      <c r="Z67" s="23">
        <f>Y67*$C$5*$AE$66</f>
        <v>0</v>
      </c>
      <c r="AB67" s="23">
        <f>AA67*$C$5*$AE$66</f>
        <v>0</v>
      </c>
      <c r="AC67" s="2">
        <v>1</v>
      </c>
      <c r="AD67" s="23">
        <f>AC67*$C$5*$AE$66</f>
        <v>2</v>
      </c>
    </row>
    <row r="68" spans="4:31" ht="14.25" customHeight="1" x14ac:dyDescent="0.35">
      <c r="F68" s="2" t="s">
        <v>5</v>
      </c>
      <c r="J68" s="23">
        <f>I68*$C$6*$AE$66</f>
        <v>0</v>
      </c>
      <c r="K68" s="2">
        <v>1</v>
      </c>
      <c r="L68" s="23">
        <f>K68*$C$6*$AE$66</f>
        <v>1</v>
      </c>
      <c r="N68" s="23">
        <f>M68*$C$6*$AE$66</f>
        <v>0</v>
      </c>
      <c r="P68" s="23">
        <f>O68*$C$6*$AE$66</f>
        <v>0</v>
      </c>
      <c r="R68" s="23">
        <f>Q68*$C$6*$AE$66</f>
        <v>0</v>
      </c>
      <c r="T68" s="23">
        <f>S68*$C$6*$AE$66</f>
        <v>0</v>
      </c>
      <c r="V68" s="23">
        <f>U68*$C$6*$AE$66</f>
        <v>0</v>
      </c>
      <c r="X68" s="23">
        <f>W68*$C$6*$AE$66</f>
        <v>0</v>
      </c>
      <c r="Z68" s="23">
        <f>Y68*$C$6*$AE$66</f>
        <v>0</v>
      </c>
      <c r="AB68" s="23">
        <f>AA68*$C$6*$AE$66</f>
        <v>0</v>
      </c>
      <c r="AD68" s="23">
        <f>AC68*$C$6*$AE$66</f>
        <v>0</v>
      </c>
    </row>
    <row r="69" spans="4:31" ht="14.25" customHeight="1" x14ac:dyDescent="0.35">
      <c r="F69" s="2" t="s">
        <v>23</v>
      </c>
      <c r="G69" s="2" t="s">
        <v>78</v>
      </c>
      <c r="I69" s="2">
        <v>1</v>
      </c>
      <c r="J69" s="23">
        <f>(I69*$C$7*$AE$66)/3</f>
        <v>0.22222222222222221</v>
      </c>
      <c r="L69" s="23">
        <f>K69*$C$7*$AE$66</f>
        <v>0</v>
      </c>
      <c r="N69" s="23">
        <f>M69*$C$7*$AE$66</f>
        <v>0</v>
      </c>
      <c r="O69" s="2">
        <v>1</v>
      </c>
      <c r="P69" s="23">
        <f>(O69*$C$7*$AE$66)/3</f>
        <v>0.22222222222222221</v>
      </c>
      <c r="R69" s="23">
        <f>Q69*$C$7*$AE$66</f>
        <v>0</v>
      </c>
      <c r="T69" s="23">
        <f>S69*$C$7*$AE$66</f>
        <v>0</v>
      </c>
      <c r="V69" s="23">
        <f>U69*$C$7*$AE$66</f>
        <v>0</v>
      </c>
      <c r="W69" s="2">
        <v>1</v>
      </c>
      <c r="X69" s="23">
        <f>(W69*$C$7*$AE$66)/3</f>
        <v>0.22222222222222221</v>
      </c>
      <c r="Z69" s="23">
        <f>Y69*$C$7*$AE$66</f>
        <v>0</v>
      </c>
      <c r="AB69" s="23">
        <f>AA69*$C$7*$AE$66</f>
        <v>0</v>
      </c>
      <c r="AD69" s="23">
        <f>AC69*$C$7*$AE$66</f>
        <v>0</v>
      </c>
    </row>
    <row r="70" spans="4:31" ht="14.25" customHeight="1" x14ac:dyDescent="0.35">
      <c r="E70" s="2" t="s">
        <v>49</v>
      </c>
      <c r="F70" s="2" t="s">
        <v>47</v>
      </c>
      <c r="J70" s="23">
        <f t="shared" ref="J70:J72" si="0">I70*$C$5*$AE$66</f>
        <v>0</v>
      </c>
      <c r="L70" s="23">
        <f t="shared" ref="L70:L72" si="1">K70*$C$5*$AE$66</f>
        <v>0</v>
      </c>
      <c r="N70" s="23">
        <f t="shared" ref="N70:N72" si="2">M70*$C$5*$AE$66</f>
        <v>0</v>
      </c>
      <c r="O70" s="2">
        <v>1</v>
      </c>
      <c r="P70" s="23">
        <f t="shared" ref="P70:P72" si="3">O70*$C$5*$AE$66</f>
        <v>2</v>
      </c>
      <c r="R70" s="23">
        <f t="shared" ref="R70:R72" si="4">Q70*$C$5*$AE$66</f>
        <v>0</v>
      </c>
      <c r="T70" s="23">
        <f t="shared" ref="T70:T72" si="5">S70*$C$5*$AE$66</f>
        <v>0</v>
      </c>
      <c r="V70" s="23">
        <f t="shared" ref="V70:V72" si="6">U70*$C$5*$AE$66</f>
        <v>0</v>
      </c>
      <c r="X70" s="23">
        <f t="shared" ref="X70:X72" si="7">W70*$C$5*$AE$66</f>
        <v>0</v>
      </c>
      <c r="Z70" s="23">
        <f t="shared" ref="Z70:Z72" si="8">Y70*$C$5*$AE$66</f>
        <v>0</v>
      </c>
      <c r="AA70" s="2">
        <v>1</v>
      </c>
      <c r="AB70" s="23">
        <f t="shared" ref="AB70:AB72" si="9">AA70*$C$5*$AE$66</f>
        <v>2</v>
      </c>
      <c r="AD70" s="23">
        <f t="shared" ref="AD70:AD72" si="10">AC70*$C$5*$AE$66</f>
        <v>0</v>
      </c>
    </row>
    <row r="71" spans="4:31" ht="14.25" customHeight="1" x14ac:dyDescent="0.35">
      <c r="F71" s="2" t="s">
        <v>5</v>
      </c>
      <c r="J71" s="23">
        <f t="shared" si="0"/>
        <v>0</v>
      </c>
      <c r="K71" s="2">
        <v>1</v>
      </c>
      <c r="L71" s="23">
        <f t="shared" si="1"/>
        <v>2</v>
      </c>
      <c r="N71" s="23">
        <f t="shared" si="2"/>
        <v>0</v>
      </c>
      <c r="P71" s="23">
        <f t="shared" si="3"/>
        <v>0</v>
      </c>
      <c r="R71" s="23">
        <f t="shared" si="4"/>
        <v>0</v>
      </c>
      <c r="T71" s="23">
        <f t="shared" si="5"/>
        <v>0</v>
      </c>
      <c r="V71" s="23">
        <f t="shared" si="6"/>
        <v>0</v>
      </c>
      <c r="X71" s="23">
        <f t="shared" si="7"/>
        <v>0</v>
      </c>
      <c r="Z71" s="23">
        <f t="shared" si="8"/>
        <v>0</v>
      </c>
      <c r="AB71" s="23">
        <f t="shared" si="9"/>
        <v>0</v>
      </c>
      <c r="AD71" s="23">
        <f t="shared" si="10"/>
        <v>0</v>
      </c>
    </row>
    <row r="72" spans="4:31" ht="14.25" customHeight="1" x14ac:dyDescent="0.35">
      <c r="F72" s="2" t="s">
        <v>23</v>
      </c>
      <c r="I72" s="2">
        <v>1</v>
      </c>
      <c r="J72" s="23">
        <f t="shared" si="0"/>
        <v>2</v>
      </c>
      <c r="L72" s="23">
        <f t="shared" si="1"/>
        <v>0</v>
      </c>
      <c r="N72" s="23">
        <f t="shared" si="2"/>
        <v>0</v>
      </c>
      <c r="P72" s="23">
        <f t="shared" si="3"/>
        <v>0</v>
      </c>
      <c r="R72" s="23">
        <f t="shared" si="4"/>
        <v>0</v>
      </c>
      <c r="T72" s="23">
        <f t="shared" si="5"/>
        <v>0</v>
      </c>
      <c r="V72" s="23">
        <f t="shared" si="6"/>
        <v>0</v>
      </c>
      <c r="X72" s="23">
        <f t="shared" si="7"/>
        <v>0</v>
      </c>
      <c r="Z72" s="23">
        <f t="shared" si="8"/>
        <v>0</v>
      </c>
      <c r="AB72" s="23">
        <f t="shared" si="9"/>
        <v>0</v>
      </c>
      <c r="AD72" s="23">
        <f t="shared" si="10"/>
        <v>0</v>
      </c>
    </row>
    <row r="73" spans="4:31" ht="14.25" customHeight="1" x14ac:dyDescent="0.45">
      <c r="F73" s="15" t="s">
        <v>51</v>
      </c>
      <c r="J73" s="24">
        <f>SUM(J67:J72)</f>
        <v>2.2222222222222223</v>
      </c>
      <c r="L73" s="24">
        <f>SUM(L67:L72)</f>
        <v>3</v>
      </c>
      <c r="M73" s="25"/>
      <c r="N73" s="24">
        <f>SUM(N67:N72)</f>
        <v>0</v>
      </c>
      <c r="O73" s="25"/>
      <c r="P73" s="24">
        <f>SUM(P67:P72)</f>
        <v>2.2222222222222223</v>
      </c>
      <c r="Q73" s="25"/>
      <c r="R73" s="24">
        <f>SUM(R67:R72)</f>
        <v>0</v>
      </c>
      <c r="S73" s="25"/>
      <c r="T73" s="24">
        <f>SUM(T67:T72)</f>
        <v>0</v>
      </c>
      <c r="U73" s="25"/>
      <c r="V73" s="24">
        <f>SUM(V67:V72)</f>
        <v>2</v>
      </c>
      <c r="W73" s="25"/>
      <c r="X73" s="24">
        <f>SUM(X67:X72)</f>
        <v>0.22222222222222221</v>
      </c>
      <c r="Y73" s="25"/>
      <c r="Z73" s="24">
        <f>SUM(Z67:Z72)</f>
        <v>0</v>
      </c>
      <c r="AA73" s="25"/>
      <c r="AB73" s="24">
        <f>SUM(AB67:AB72)</f>
        <v>2</v>
      </c>
      <c r="AC73" s="25"/>
      <c r="AD73" s="24">
        <f>SUM(AD67:AD72)</f>
        <v>2</v>
      </c>
    </row>
    <row r="74" spans="4:31" ht="14.25" customHeight="1" x14ac:dyDescent="0.35"/>
    <row r="75" spans="4:31" ht="14.25" customHeight="1" x14ac:dyDescent="0.35">
      <c r="I75" s="160" t="s">
        <v>16</v>
      </c>
      <c r="J75" s="161"/>
      <c r="K75" s="160" t="s">
        <v>14</v>
      </c>
      <c r="L75" s="161"/>
      <c r="M75" s="160" t="s">
        <v>20</v>
      </c>
      <c r="N75" s="161"/>
      <c r="O75" s="160" t="s">
        <v>25</v>
      </c>
      <c r="P75" s="161"/>
      <c r="Q75" s="160" t="s">
        <v>26</v>
      </c>
      <c r="R75" s="161"/>
      <c r="S75" s="160" t="s">
        <v>27</v>
      </c>
      <c r="T75" s="161"/>
      <c r="U75" s="160" t="s">
        <v>28</v>
      </c>
      <c r="V75" s="161"/>
      <c r="W75" s="160" t="s">
        <v>41</v>
      </c>
      <c r="X75" s="161"/>
      <c r="Y75" s="160" t="s">
        <v>30</v>
      </c>
      <c r="Z75" s="161"/>
      <c r="AA75" s="160" t="s">
        <v>22</v>
      </c>
      <c r="AB75" s="161"/>
      <c r="AC75" s="160" t="s">
        <v>31</v>
      </c>
      <c r="AD75" s="161"/>
      <c r="AE75" s="2" t="s">
        <v>42</v>
      </c>
    </row>
    <row r="76" spans="4:31" ht="14.25" customHeight="1" x14ac:dyDescent="0.35">
      <c r="D76" s="2" t="s">
        <v>79</v>
      </c>
      <c r="E76" s="2" t="s">
        <v>44</v>
      </c>
      <c r="I76" s="160"/>
      <c r="J76" s="161"/>
      <c r="K76" s="160">
        <v>1</v>
      </c>
      <c r="L76" s="161"/>
      <c r="M76" s="160">
        <v>1</v>
      </c>
      <c r="N76" s="161"/>
      <c r="O76" s="160">
        <v>1</v>
      </c>
      <c r="P76" s="161"/>
      <c r="Q76" s="160"/>
      <c r="R76" s="161"/>
      <c r="S76" s="160"/>
      <c r="T76" s="161"/>
      <c r="U76" s="160">
        <v>1</v>
      </c>
      <c r="V76" s="161"/>
      <c r="W76" s="160">
        <v>1</v>
      </c>
      <c r="X76" s="161"/>
      <c r="Y76" s="160"/>
      <c r="Z76" s="161"/>
      <c r="AA76" s="160">
        <v>1</v>
      </c>
      <c r="AB76" s="161"/>
      <c r="AC76" s="160"/>
      <c r="AD76" s="161"/>
      <c r="AE76" s="22">
        <f>SUM(I76:AB76)</f>
        <v>6</v>
      </c>
    </row>
    <row r="77" spans="4:31" ht="14.25" customHeight="1" x14ac:dyDescent="0.35">
      <c r="E77" s="2" t="s">
        <v>46</v>
      </c>
      <c r="F77" s="2" t="s">
        <v>47</v>
      </c>
      <c r="J77" s="23">
        <f>I77*$C$5*$AE$76</f>
        <v>0</v>
      </c>
      <c r="K77" s="2">
        <v>1</v>
      </c>
      <c r="L77" s="23">
        <f>K77*$C$5*$AE$76</f>
        <v>1.5</v>
      </c>
      <c r="N77" s="23">
        <f>M77*$C$5*$AE$76</f>
        <v>0</v>
      </c>
      <c r="P77" s="23">
        <f>O77*$C$5*$AE$76</f>
        <v>0</v>
      </c>
      <c r="R77" s="23">
        <f>Q77*$C$5*$AE$76</f>
        <v>0</v>
      </c>
      <c r="T77" s="23">
        <f>S77*$C$5*$AE$76</f>
        <v>0</v>
      </c>
      <c r="V77" s="23">
        <f>U77*$C$5*$AE$76</f>
        <v>0</v>
      </c>
      <c r="W77" s="2">
        <v>1</v>
      </c>
      <c r="X77" s="23">
        <f>W77*$C$5*$AE$76</f>
        <v>1.5</v>
      </c>
      <c r="Z77" s="23">
        <f>Y77*$C$5*$AE$76</f>
        <v>0</v>
      </c>
      <c r="AB77" s="23">
        <f>AA77*$C$5*$AE$76</f>
        <v>0</v>
      </c>
      <c r="AD77" s="23">
        <f>AC77*$C$5*$AE$76</f>
        <v>0</v>
      </c>
    </row>
    <row r="78" spans="4:31" ht="14.25" customHeight="1" x14ac:dyDescent="0.35">
      <c r="F78" s="2" t="s">
        <v>5</v>
      </c>
      <c r="J78" s="23">
        <f>I78*$C$6*$AE$76</f>
        <v>0</v>
      </c>
      <c r="L78" s="23">
        <f>K78*$C$6*$AE$76</f>
        <v>0</v>
      </c>
      <c r="N78" s="23">
        <f>M78*$C$6*$AE$76</f>
        <v>0</v>
      </c>
      <c r="P78" s="23">
        <f>O78*$C$6*$AE$76</f>
        <v>0</v>
      </c>
      <c r="R78" s="23">
        <f>Q78*$C$6*$AE$76</f>
        <v>0</v>
      </c>
      <c r="T78" s="23">
        <f>S78*$C$6*$AE$76</f>
        <v>0</v>
      </c>
      <c r="U78" s="2">
        <v>1</v>
      </c>
      <c r="V78" s="23">
        <f>U78*$C$6*$AE$76</f>
        <v>0.75</v>
      </c>
      <c r="X78" s="23">
        <f>W78*$C$6*$AE$76</f>
        <v>0</v>
      </c>
      <c r="Z78" s="23">
        <f>Y78*$C$6*$AE$76</f>
        <v>0</v>
      </c>
      <c r="AB78" s="23">
        <f>AA78*$C$6*$AE$76</f>
        <v>0</v>
      </c>
      <c r="AD78" s="23">
        <f>AC78*$C$6*$AE$76</f>
        <v>0</v>
      </c>
    </row>
    <row r="79" spans="4:31" ht="14.25" customHeight="1" x14ac:dyDescent="0.35">
      <c r="F79" s="2" t="s">
        <v>23</v>
      </c>
      <c r="J79" s="23">
        <f>I79*$C$7*$AE$76</f>
        <v>0</v>
      </c>
      <c r="L79" s="23">
        <f>K79*$C$7*$AE$76</f>
        <v>0</v>
      </c>
      <c r="N79" s="23">
        <f>M79*$C$7*$AE$76</f>
        <v>0</v>
      </c>
      <c r="P79" s="23">
        <f>O79*$C$7*$AE$76</f>
        <v>0</v>
      </c>
      <c r="R79" s="23">
        <f>Q79*$C$7*$AE$76</f>
        <v>0</v>
      </c>
      <c r="T79" s="23">
        <f>S79*$C$7*$AE$76</f>
        <v>0</v>
      </c>
      <c r="V79" s="23">
        <f>U79*$C$7*$AE$76</f>
        <v>0</v>
      </c>
      <c r="X79" s="23">
        <f>W79*$C$7*$AE$76</f>
        <v>0</v>
      </c>
      <c r="Z79" s="23">
        <f>Y79*$C$7*$AE$76</f>
        <v>0</v>
      </c>
      <c r="AB79" s="23">
        <f>AA79*$C$7*$AE$76</f>
        <v>0</v>
      </c>
      <c r="AD79" s="23">
        <f>AC79*$C$7*$AE$76</f>
        <v>0</v>
      </c>
    </row>
    <row r="80" spans="4:31" ht="14.25" customHeight="1" x14ac:dyDescent="0.35">
      <c r="E80" s="2" t="s">
        <v>49</v>
      </c>
      <c r="F80" s="2" t="s">
        <v>47</v>
      </c>
      <c r="J80" s="23">
        <f>I80*$C$5*$AE$76</f>
        <v>0</v>
      </c>
      <c r="L80" s="23">
        <f>K80*$C$5*$AE$76</f>
        <v>0</v>
      </c>
      <c r="N80" s="23">
        <f>M80*$C$5*$AE$76</f>
        <v>0</v>
      </c>
      <c r="O80" s="2">
        <v>1</v>
      </c>
      <c r="P80" s="23">
        <f>O80*$C$5*$AE$76</f>
        <v>1.5</v>
      </c>
      <c r="R80" s="23">
        <f>Q80*$C$5*$AE$76</f>
        <v>0</v>
      </c>
      <c r="T80" s="23">
        <f>S80*$C$5*$AE$76</f>
        <v>0</v>
      </c>
      <c r="U80" s="2">
        <v>1</v>
      </c>
      <c r="V80" s="23">
        <f>U80*$C$5*$AE$76</f>
        <v>1.5</v>
      </c>
      <c r="X80" s="23">
        <f>W80*$C$5*$AE$76</f>
        <v>0</v>
      </c>
      <c r="Z80" s="23">
        <f>Y80*$C$5*$AE$76</f>
        <v>0</v>
      </c>
      <c r="AB80" s="23">
        <f>AA80*$C$5*$AE$76</f>
        <v>0</v>
      </c>
      <c r="AD80" s="23">
        <f>AC80*$C$5*$AE$76</f>
        <v>0</v>
      </c>
    </row>
    <row r="81" spans="4:31" ht="14.25" customHeight="1" x14ac:dyDescent="0.35">
      <c r="F81" s="2" t="s">
        <v>5</v>
      </c>
      <c r="J81" s="23">
        <f>I81*$C$6*$AE$76</f>
        <v>0</v>
      </c>
      <c r="K81" s="2">
        <v>0.5</v>
      </c>
      <c r="L81" s="23">
        <f>K81*$C$6*$AE$76</f>
        <v>0.375</v>
      </c>
      <c r="M81" s="2">
        <v>0.5</v>
      </c>
      <c r="N81" s="23">
        <f>M81*$C$6*$AE$76</f>
        <v>0.375</v>
      </c>
      <c r="P81" s="23">
        <f>O81*$C$6*$AE$76</f>
        <v>0</v>
      </c>
      <c r="R81" s="23">
        <f>Q81*$C$6*$AE$76</f>
        <v>0</v>
      </c>
      <c r="T81" s="23">
        <f>S81*$C$6*$AE$76</f>
        <v>0</v>
      </c>
      <c r="V81" s="23">
        <f>U81*$C$6*$AE$76</f>
        <v>0</v>
      </c>
      <c r="X81" s="23">
        <f>W81*$C$6*$AE$76</f>
        <v>0</v>
      </c>
      <c r="Z81" s="23">
        <f>Y81*$C$6*$AE$76</f>
        <v>0</v>
      </c>
      <c r="AB81" s="23">
        <f>AA81*$C$6*$AE$76</f>
        <v>0</v>
      </c>
      <c r="AD81" s="23">
        <f>AC81*$C$6*$AE$76</f>
        <v>0</v>
      </c>
    </row>
    <row r="82" spans="4:31" ht="14.25" customHeight="1" x14ac:dyDescent="0.35">
      <c r="F82" s="2" t="s">
        <v>23</v>
      </c>
      <c r="J82" s="23">
        <f>I82*$C$7*$AE$76</f>
        <v>0</v>
      </c>
      <c r="L82" s="23">
        <f>K82*$C$7*$AE$76</f>
        <v>0</v>
      </c>
      <c r="N82" s="23">
        <f>M82*$C$7*$AE$76</f>
        <v>0</v>
      </c>
      <c r="P82" s="23">
        <f>O82*$C$7*$AE$76</f>
        <v>0</v>
      </c>
      <c r="R82" s="23">
        <f>Q82*$C$7*$AE$76</f>
        <v>0</v>
      </c>
      <c r="T82" s="23">
        <f>S82*$C$7*$AE$76</f>
        <v>0</v>
      </c>
      <c r="V82" s="23">
        <f>U82*$C$7*$AE$76</f>
        <v>0</v>
      </c>
      <c r="X82" s="23">
        <f>W82*$C$7*$AE$76</f>
        <v>0</v>
      </c>
      <c r="Z82" s="23">
        <f>Y82*$C$7*$AE$76</f>
        <v>0</v>
      </c>
      <c r="AB82" s="23">
        <f>AA82*$C$7*$AE$76</f>
        <v>0</v>
      </c>
      <c r="AD82" s="23">
        <f>AC82*$C$7*$AE$76</f>
        <v>0</v>
      </c>
    </row>
    <row r="83" spans="4:31" ht="14.25" customHeight="1" x14ac:dyDescent="0.45">
      <c r="F83" s="15" t="s">
        <v>51</v>
      </c>
      <c r="J83" s="24">
        <f>SUM(J77:J82)</f>
        <v>0</v>
      </c>
      <c r="L83" s="24">
        <f>SUM(L77:L82)</f>
        <v>1.875</v>
      </c>
      <c r="M83" s="25"/>
      <c r="N83" s="24">
        <f>SUM(N77:N82)</f>
        <v>0.375</v>
      </c>
      <c r="O83" s="25"/>
      <c r="P83" s="24">
        <f>SUM(P77:P82)</f>
        <v>1.5</v>
      </c>
      <c r="Q83" s="25"/>
      <c r="R83" s="24">
        <f>SUM(R77:R82)</f>
        <v>0</v>
      </c>
      <c r="S83" s="25"/>
      <c r="T83" s="24">
        <f>SUM(T77:T82)</f>
        <v>0</v>
      </c>
      <c r="U83" s="25"/>
      <c r="V83" s="24">
        <f>SUM(V77:V82)</f>
        <v>2.25</v>
      </c>
      <c r="W83" s="25"/>
      <c r="X83" s="24">
        <f>SUM(X77:X82)</f>
        <v>1.5</v>
      </c>
      <c r="Y83" s="25"/>
      <c r="Z83" s="24">
        <f>SUM(Z77:Z82)</f>
        <v>0</v>
      </c>
      <c r="AA83" s="25"/>
      <c r="AB83" s="24">
        <f>SUM(AB77:AB82)</f>
        <v>0</v>
      </c>
      <c r="AC83" s="25"/>
      <c r="AD83" s="24">
        <f>SUM(AD77:AD82)</f>
        <v>0</v>
      </c>
    </row>
    <row r="84" spans="4:31" ht="14.25" customHeight="1" x14ac:dyDescent="0.35"/>
    <row r="85" spans="4:31" ht="14.25" customHeight="1" x14ac:dyDescent="0.35">
      <c r="I85" s="160" t="s">
        <v>16</v>
      </c>
      <c r="J85" s="161"/>
      <c r="K85" s="160" t="s">
        <v>14</v>
      </c>
      <c r="L85" s="161"/>
      <c r="M85" s="160" t="s">
        <v>20</v>
      </c>
      <c r="N85" s="161"/>
      <c r="O85" s="160" t="s">
        <v>25</v>
      </c>
      <c r="P85" s="161"/>
      <c r="Q85" s="160" t="s">
        <v>26</v>
      </c>
      <c r="R85" s="161"/>
      <c r="S85" s="160" t="s">
        <v>27</v>
      </c>
      <c r="T85" s="161"/>
      <c r="U85" s="160" t="s">
        <v>28</v>
      </c>
      <c r="V85" s="161"/>
      <c r="W85" s="160" t="s">
        <v>41</v>
      </c>
      <c r="X85" s="161"/>
      <c r="Y85" s="160" t="s">
        <v>30</v>
      </c>
      <c r="Z85" s="161"/>
      <c r="AA85" s="160" t="s">
        <v>22</v>
      </c>
      <c r="AB85" s="161"/>
      <c r="AC85" s="160" t="s">
        <v>31</v>
      </c>
      <c r="AD85" s="161"/>
      <c r="AE85" s="2" t="s">
        <v>42</v>
      </c>
    </row>
    <row r="86" spans="4:31" ht="14.25" customHeight="1" x14ac:dyDescent="0.35">
      <c r="D86" s="26">
        <v>45967</v>
      </c>
      <c r="E86" s="2" t="s">
        <v>44</v>
      </c>
      <c r="I86" s="160">
        <v>1</v>
      </c>
      <c r="J86" s="161"/>
      <c r="K86" s="160">
        <v>1</v>
      </c>
      <c r="L86" s="161"/>
      <c r="M86" s="160">
        <v>1</v>
      </c>
      <c r="N86" s="161"/>
      <c r="O86" s="160">
        <v>1</v>
      </c>
      <c r="P86" s="161"/>
      <c r="Q86" s="160">
        <v>1</v>
      </c>
      <c r="R86" s="161"/>
      <c r="S86" s="160">
        <v>1</v>
      </c>
      <c r="T86" s="161"/>
      <c r="U86" s="160"/>
      <c r="V86" s="161"/>
      <c r="W86" s="160"/>
      <c r="X86" s="161"/>
      <c r="Y86" s="160"/>
      <c r="Z86" s="161"/>
      <c r="AA86" s="160">
        <v>1</v>
      </c>
      <c r="AB86" s="161"/>
      <c r="AC86" s="160">
        <v>1</v>
      </c>
      <c r="AD86" s="161"/>
      <c r="AE86" s="22">
        <f>SUM(I86:AD86)</f>
        <v>8</v>
      </c>
    </row>
    <row r="87" spans="4:31" ht="14.25" customHeight="1" x14ac:dyDescent="0.35">
      <c r="E87" s="2" t="s">
        <v>46</v>
      </c>
      <c r="F87" s="2" t="s">
        <v>47</v>
      </c>
      <c r="J87" s="23">
        <f>I87*$C$5*$AE$86</f>
        <v>0</v>
      </c>
      <c r="L87" s="23">
        <f>K87*$C$5*$AE$86</f>
        <v>0</v>
      </c>
      <c r="N87" s="23">
        <f>M87*$C$5*$AE$86</f>
        <v>0</v>
      </c>
      <c r="O87" s="2">
        <v>1</v>
      </c>
      <c r="P87" s="23">
        <f>O87*$C$5*$AE$86</f>
        <v>2</v>
      </c>
      <c r="R87" s="23">
        <f>Q87*$C$5*$AE$86</f>
        <v>0</v>
      </c>
      <c r="T87" s="23">
        <f>S87*$C$5*$AE$86</f>
        <v>0</v>
      </c>
      <c r="V87" s="23">
        <f>U87*$C$5*$AE$86</f>
        <v>0</v>
      </c>
      <c r="X87" s="23">
        <f>W87*$C$5*$AE$86</f>
        <v>0</v>
      </c>
      <c r="Z87" s="23">
        <f>Y87*$C$5*$AE$86</f>
        <v>0</v>
      </c>
      <c r="AA87" s="2">
        <v>1</v>
      </c>
      <c r="AB87" s="23">
        <f>AA87*$C$5*$AE$86</f>
        <v>2</v>
      </c>
      <c r="AD87" s="23">
        <f>AC87*$C$5*$AE$86</f>
        <v>0</v>
      </c>
    </row>
    <row r="88" spans="4:31" ht="14.25" customHeight="1" x14ac:dyDescent="0.35">
      <c r="F88" s="2" t="s">
        <v>5</v>
      </c>
      <c r="J88" s="23">
        <f>I88*$C$6*$AE$86</f>
        <v>0</v>
      </c>
      <c r="L88" s="23">
        <f>K88*$C$6*$AE$86</f>
        <v>0</v>
      </c>
      <c r="N88" s="23">
        <f>M88*$C$6*$AE$86</f>
        <v>0</v>
      </c>
      <c r="P88" s="23">
        <f>O88*$C$6*$AE$86</f>
        <v>0</v>
      </c>
      <c r="Q88" s="2">
        <v>1</v>
      </c>
      <c r="R88" s="23">
        <f>Q88*$C$6*$AE$86</f>
        <v>1</v>
      </c>
      <c r="T88" s="23">
        <f>S88*$C$6*$AE$86</f>
        <v>0</v>
      </c>
      <c r="V88" s="23">
        <f>U88*$C$6*$AE$86</f>
        <v>0</v>
      </c>
      <c r="X88" s="23">
        <f>W88*$C$6*$AE$86</f>
        <v>0</v>
      </c>
      <c r="Z88" s="23">
        <f>Y88*$C$6*$AE$86</f>
        <v>0</v>
      </c>
      <c r="AB88" s="23">
        <f>AA88*$C$6*$AE$86</f>
        <v>0</v>
      </c>
      <c r="AD88" s="23">
        <f>AC88*$C$6*$AE$86</f>
        <v>0</v>
      </c>
    </row>
    <row r="89" spans="4:31" ht="14.25" customHeight="1" x14ac:dyDescent="0.35">
      <c r="F89" s="2" t="s">
        <v>23</v>
      </c>
      <c r="J89" s="23">
        <f>I89*$C$7*$AE$86</f>
        <v>0</v>
      </c>
      <c r="L89" s="23">
        <f>K89*$C$7*$AE$86</f>
        <v>0</v>
      </c>
      <c r="N89" s="23">
        <f>M89*$C$7*$AE$86</f>
        <v>0</v>
      </c>
      <c r="P89" s="23">
        <f>O89*$C$7*$AE$86</f>
        <v>0</v>
      </c>
      <c r="R89" s="23">
        <f>Q89*$C$7*$AE$86</f>
        <v>0</v>
      </c>
      <c r="S89" s="2">
        <v>1</v>
      </c>
      <c r="T89" s="23">
        <f>S89*$C$7*$AE$86</f>
        <v>0.66666666666666663</v>
      </c>
      <c r="V89" s="23">
        <f>U89*$C$7*$AE$86</f>
        <v>0</v>
      </c>
      <c r="X89" s="23">
        <f>W89*$C$7*$AE$86</f>
        <v>0</v>
      </c>
      <c r="Z89" s="23">
        <f>Y89*$C$7*$AE$86</f>
        <v>0</v>
      </c>
      <c r="AB89" s="23">
        <f>AA89*$C$7*$AE$86</f>
        <v>0</v>
      </c>
      <c r="AD89" s="23">
        <f>AC89*$C$7*$AE$86</f>
        <v>0</v>
      </c>
    </row>
    <row r="90" spans="4:31" ht="14.25" customHeight="1" x14ac:dyDescent="0.35">
      <c r="E90" s="2" t="s">
        <v>49</v>
      </c>
      <c r="F90" s="2" t="s">
        <v>47</v>
      </c>
      <c r="J90" s="23">
        <f>I90*$C$5*$AE$86</f>
        <v>0</v>
      </c>
      <c r="L90" s="23">
        <f>K90*$C$5*$AE$86</f>
        <v>0</v>
      </c>
      <c r="N90" s="23">
        <f>M90*$C$5*$AE$86</f>
        <v>0</v>
      </c>
      <c r="O90" s="2">
        <v>1</v>
      </c>
      <c r="P90" s="23">
        <f>O90*$C$5*$AE$86</f>
        <v>2</v>
      </c>
      <c r="R90" s="23">
        <f>Q90*$C$5*$AE$86</f>
        <v>0</v>
      </c>
      <c r="T90" s="23">
        <f>S90*$C$5*$AE$86</f>
        <v>0</v>
      </c>
      <c r="V90" s="23">
        <f>U90*$C$5*$AE$86</f>
        <v>0</v>
      </c>
      <c r="X90" s="23">
        <f>W90*$C$5*$AE$86</f>
        <v>0</v>
      </c>
      <c r="Z90" s="23">
        <f>Y90*$C$5*$AE$86</f>
        <v>0</v>
      </c>
      <c r="AB90" s="23">
        <f>AA90*$C$5*$AE$86</f>
        <v>0</v>
      </c>
      <c r="AD90" s="23">
        <f>AC90*$C$5*$AE$86</f>
        <v>0</v>
      </c>
    </row>
    <row r="91" spans="4:31" ht="14.25" customHeight="1" x14ac:dyDescent="0.35">
      <c r="F91" s="2" t="s">
        <v>5</v>
      </c>
      <c r="I91" s="2">
        <v>1</v>
      </c>
      <c r="J91" s="23">
        <f>I91*$C$6*$AE$86</f>
        <v>1</v>
      </c>
      <c r="K91" s="2">
        <v>1</v>
      </c>
      <c r="L91" s="23">
        <f>K91*$C$6*$AE$86</f>
        <v>1</v>
      </c>
      <c r="N91" s="23">
        <f>M91*$C$6*$AE$86</f>
        <v>0</v>
      </c>
      <c r="P91" s="23">
        <f>O91*$C$6*$AE$86</f>
        <v>0</v>
      </c>
      <c r="R91" s="23">
        <f>Q91*$C$6*$AE$86</f>
        <v>0</v>
      </c>
      <c r="T91" s="23">
        <f>S91*$C$6*$AE$86</f>
        <v>0</v>
      </c>
      <c r="V91" s="23">
        <f>U91*$C$6*$AE$86</f>
        <v>0</v>
      </c>
      <c r="X91" s="23">
        <f>W91*$C$6*$AE$86</f>
        <v>0</v>
      </c>
      <c r="Z91" s="23">
        <f>Y91*$C$6*$AE$86</f>
        <v>0</v>
      </c>
      <c r="AB91" s="23">
        <f>AA91*$C$6*$AE$86</f>
        <v>0</v>
      </c>
      <c r="AD91" s="23">
        <f>AC91*$C$6*$AE$86</f>
        <v>0</v>
      </c>
    </row>
    <row r="92" spans="4:31" ht="14.25" customHeight="1" x14ac:dyDescent="0.35">
      <c r="F92" s="2" t="s">
        <v>23</v>
      </c>
      <c r="J92" s="23">
        <f>I92*$C$7*$AE$86</f>
        <v>0</v>
      </c>
      <c r="L92" s="23">
        <f>K92*$C$7*$AE$86</f>
        <v>0</v>
      </c>
      <c r="M92" s="2">
        <v>1</v>
      </c>
      <c r="N92" s="23">
        <f>M92*$C$7*$AE$86</f>
        <v>0.66666666666666663</v>
      </c>
      <c r="P92" s="23">
        <f>O92*$C$7*$AE$86</f>
        <v>0</v>
      </c>
      <c r="R92" s="23">
        <f>Q92*$C$7*$AE$86</f>
        <v>0</v>
      </c>
      <c r="T92" s="23">
        <f>S92*$C$7*$AE$86</f>
        <v>0</v>
      </c>
      <c r="V92" s="23">
        <f>U92*$C$7*$AE$86</f>
        <v>0</v>
      </c>
      <c r="X92" s="23">
        <f>W92*$C$7*$AE$86</f>
        <v>0</v>
      </c>
      <c r="Z92" s="23">
        <f>Y92*$C$7*$AE$86</f>
        <v>0</v>
      </c>
      <c r="AB92" s="23">
        <f>AA92*$C$7*$AE$86</f>
        <v>0</v>
      </c>
      <c r="AD92" s="23">
        <f>AC92*$C$7*$AE$86</f>
        <v>0</v>
      </c>
    </row>
    <row r="93" spans="4:31" ht="14.25" customHeight="1" x14ac:dyDescent="0.45">
      <c r="F93" s="15" t="s">
        <v>51</v>
      </c>
      <c r="J93" s="24">
        <f>SUM(J87:J92)</f>
        <v>1</v>
      </c>
      <c r="L93" s="24">
        <f>SUM(L87:L92)</f>
        <v>1</v>
      </c>
      <c r="M93" s="25"/>
      <c r="N93" s="24">
        <f>SUM(N87:N92)</f>
        <v>0.66666666666666663</v>
      </c>
      <c r="O93" s="25"/>
      <c r="P93" s="24">
        <f>SUM(P87:P92)</f>
        <v>4</v>
      </c>
      <c r="Q93" s="25"/>
      <c r="R93" s="24">
        <f>SUM(R87:R92)</f>
        <v>1</v>
      </c>
      <c r="S93" s="25"/>
      <c r="T93" s="24">
        <f>SUM(T87:T92)</f>
        <v>0.66666666666666663</v>
      </c>
      <c r="U93" s="25"/>
      <c r="V93" s="24">
        <f>SUM(V87:V92)</f>
        <v>0</v>
      </c>
      <c r="W93" s="25"/>
      <c r="X93" s="24">
        <f>SUM(X87:X92)</f>
        <v>0</v>
      </c>
      <c r="Y93" s="25"/>
      <c r="Z93" s="24">
        <f>SUM(Z87:Z92)</f>
        <v>0</v>
      </c>
      <c r="AA93" s="25"/>
      <c r="AB93" s="24">
        <f>SUM(AB87:AB92)</f>
        <v>2</v>
      </c>
      <c r="AC93" s="25"/>
      <c r="AD93" s="24">
        <f>SUM(AD87:AD92)</f>
        <v>0</v>
      </c>
    </row>
    <row r="94" spans="4:31" ht="14.25" customHeight="1" x14ac:dyDescent="0.35"/>
    <row r="95" spans="4:31" ht="14.25" customHeight="1" x14ac:dyDescent="0.35">
      <c r="I95" s="160" t="s">
        <v>16</v>
      </c>
      <c r="J95" s="161"/>
      <c r="K95" s="160" t="s">
        <v>14</v>
      </c>
      <c r="L95" s="161"/>
      <c r="M95" s="160" t="s">
        <v>20</v>
      </c>
      <c r="N95" s="161"/>
      <c r="O95" s="160" t="s">
        <v>25</v>
      </c>
      <c r="P95" s="161"/>
      <c r="Q95" s="160" t="s">
        <v>26</v>
      </c>
      <c r="R95" s="161"/>
      <c r="S95" s="160" t="s">
        <v>27</v>
      </c>
      <c r="T95" s="161"/>
      <c r="U95" s="160" t="s">
        <v>28</v>
      </c>
      <c r="V95" s="161"/>
      <c r="W95" s="160" t="s">
        <v>41</v>
      </c>
      <c r="X95" s="161"/>
      <c r="Y95" s="160" t="s">
        <v>30</v>
      </c>
      <c r="Z95" s="161"/>
      <c r="AA95" s="160" t="s">
        <v>22</v>
      </c>
      <c r="AB95" s="161"/>
      <c r="AC95" s="160" t="s">
        <v>31</v>
      </c>
      <c r="AD95" s="161"/>
      <c r="AE95" s="2" t="s">
        <v>42</v>
      </c>
    </row>
    <row r="96" spans="4:31" ht="14.25" customHeight="1" x14ac:dyDescent="0.35">
      <c r="D96" s="26">
        <v>46007</v>
      </c>
      <c r="E96" s="2" t="s">
        <v>44</v>
      </c>
      <c r="I96" s="160">
        <v>1</v>
      </c>
      <c r="J96" s="161"/>
      <c r="K96" s="160">
        <v>1</v>
      </c>
      <c r="L96" s="161"/>
      <c r="M96" s="160">
        <v>1</v>
      </c>
      <c r="N96" s="161"/>
      <c r="O96" s="160">
        <v>1</v>
      </c>
      <c r="P96" s="161"/>
      <c r="Q96" s="160">
        <v>1</v>
      </c>
      <c r="R96" s="161"/>
      <c r="S96" s="160">
        <v>1</v>
      </c>
      <c r="T96" s="161"/>
      <c r="U96" s="160">
        <v>1</v>
      </c>
      <c r="V96" s="161"/>
      <c r="W96" s="160">
        <v>1</v>
      </c>
      <c r="X96" s="161"/>
      <c r="Y96" s="160"/>
      <c r="Z96" s="161"/>
      <c r="AA96" s="160">
        <v>1</v>
      </c>
      <c r="AB96" s="161"/>
      <c r="AC96" s="160">
        <v>1</v>
      </c>
      <c r="AD96" s="161"/>
      <c r="AE96" s="22">
        <f>SUM(I96:AD96)</f>
        <v>10</v>
      </c>
    </row>
    <row r="97" spans="4:31" ht="14.25" customHeight="1" x14ac:dyDescent="0.35">
      <c r="E97" s="2" t="s">
        <v>46</v>
      </c>
      <c r="F97" s="2" t="s">
        <v>47</v>
      </c>
      <c r="I97" s="2">
        <v>1</v>
      </c>
      <c r="J97" s="23">
        <f>I97*$C$5*$AE$96</f>
        <v>2.5</v>
      </c>
      <c r="K97" s="2">
        <v>1</v>
      </c>
      <c r="L97" s="23">
        <f>K97*$C$5*$AE$96</f>
        <v>2.5</v>
      </c>
      <c r="N97" s="23">
        <f>M97*$C$5*$AE$96</f>
        <v>0</v>
      </c>
      <c r="P97" s="23">
        <f>O97*$C$5*$AE$96</f>
        <v>0</v>
      </c>
      <c r="R97" s="23">
        <f>Q97*$C$5*$AE$96</f>
        <v>0</v>
      </c>
      <c r="T97" s="23">
        <f>S97*$C$5*$AE$96</f>
        <v>0</v>
      </c>
      <c r="V97" s="23">
        <f>U97*$C$5*$AE$96</f>
        <v>0</v>
      </c>
      <c r="X97" s="23">
        <f>W97*$C$5*$AE$96</f>
        <v>0</v>
      </c>
      <c r="Z97" s="23">
        <f>Y97*$C$5*$AE$96</f>
        <v>0</v>
      </c>
      <c r="AB97" s="23">
        <f>AA97*$C$5*$AE$96</f>
        <v>0</v>
      </c>
      <c r="AD97" s="23">
        <f>AC97*$C$5*$AE$96</f>
        <v>0</v>
      </c>
    </row>
    <row r="98" spans="4:31" ht="14.25" customHeight="1" x14ac:dyDescent="0.35">
      <c r="F98" s="2" t="s">
        <v>5</v>
      </c>
      <c r="J98" s="23">
        <f>I98*$C$6*$AE$96</f>
        <v>0</v>
      </c>
      <c r="L98" s="23">
        <f>K98*$C$6*$AE$96</f>
        <v>0</v>
      </c>
      <c r="N98" s="23">
        <f>M98*$C$6*$AE$96</f>
        <v>0</v>
      </c>
      <c r="P98" s="23">
        <f>O98*$C$6*$AE$96</f>
        <v>0</v>
      </c>
      <c r="R98" s="23">
        <f>Q98*$C$6*$AE$96</f>
        <v>0</v>
      </c>
      <c r="T98" s="23">
        <f>S98*$C$6*$AE$96</f>
        <v>0</v>
      </c>
      <c r="V98" s="23">
        <f>U98*$C$6*$AE$96</f>
        <v>0</v>
      </c>
      <c r="X98" s="23">
        <f>W98*$C$6*$AE$96</f>
        <v>0</v>
      </c>
      <c r="Z98" s="23">
        <f>Y98*$C$6*$AE$96</f>
        <v>0</v>
      </c>
      <c r="AA98" s="2">
        <v>1</v>
      </c>
      <c r="AB98" s="23">
        <f>AA98*$C$6*$AE$96</f>
        <v>1.25</v>
      </c>
      <c r="AD98" s="23">
        <f>AC98*$C$6*$AE$96</f>
        <v>0</v>
      </c>
    </row>
    <row r="99" spans="4:31" ht="14.25" customHeight="1" x14ac:dyDescent="0.35">
      <c r="F99" s="2" t="s">
        <v>23</v>
      </c>
      <c r="J99" s="23">
        <f>I99*$C$7*$AE$96</f>
        <v>0</v>
      </c>
      <c r="L99" s="23">
        <f>K99*$C$7*$AE$96</f>
        <v>0</v>
      </c>
      <c r="N99" s="23">
        <f>M99*$C$7*$AE$96</f>
        <v>0</v>
      </c>
      <c r="P99" s="23">
        <f>O99*$C$7*$AE$96</f>
        <v>0</v>
      </c>
      <c r="R99" s="23">
        <f>Q99*$C$7*$AE$96</f>
        <v>0</v>
      </c>
      <c r="S99" s="2">
        <v>1</v>
      </c>
      <c r="T99" s="23">
        <f>S99*$C$7*$AE$96</f>
        <v>0.83333333333333326</v>
      </c>
      <c r="V99" s="23">
        <f>U99*$C$7*$AE$96</f>
        <v>0</v>
      </c>
      <c r="X99" s="23">
        <f>W99*$C$7*$AE$96</f>
        <v>0</v>
      </c>
      <c r="Z99" s="23">
        <f>Y99*$C$7*$AE$96</f>
        <v>0</v>
      </c>
      <c r="AB99" s="23">
        <f>AA99*$C$7*$AE$96</f>
        <v>0</v>
      </c>
      <c r="AD99" s="23">
        <f>AC99*$C$7*$AE$96</f>
        <v>0</v>
      </c>
    </row>
    <row r="100" spans="4:31" ht="14.25" customHeight="1" x14ac:dyDescent="0.35">
      <c r="F100" s="2" t="s">
        <v>72</v>
      </c>
      <c r="G100" s="2" t="s">
        <v>73</v>
      </c>
      <c r="J100" s="23">
        <f>I100*$C$8*$AE$96</f>
        <v>0</v>
      </c>
      <c r="L100" s="23">
        <f>K100*$C$8*$AE$96</f>
        <v>0</v>
      </c>
      <c r="N100" s="23">
        <f>M100*$C$8*$AE$96</f>
        <v>0</v>
      </c>
      <c r="P100" s="23">
        <f>O100*$C$8*$AE$96</f>
        <v>0</v>
      </c>
      <c r="R100" s="23">
        <f>Q100*$C$8*$AE$96</f>
        <v>0</v>
      </c>
      <c r="T100" s="23">
        <f>S100*$C$8*$AE$96</f>
        <v>0</v>
      </c>
      <c r="V100" s="23">
        <f>U100*$C$8*$AE$96</f>
        <v>0</v>
      </c>
      <c r="X100" s="23">
        <f>W100*$C$8*$AE$96</f>
        <v>0</v>
      </c>
      <c r="Z100" s="23">
        <f>Y100*$C$8*$AE$96</f>
        <v>0</v>
      </c>
      <c r="AB100" s="23">
        <f>AA100*$C$8*$AE$96</f>
        <v>0</v>
      </c>
      <c r="AD100" s="23">
        <f>AC100*$C$8*$AE$96</f>
        <v>0</v>
      </c>
    </row>
    <row r="101" spans="4:31" ht="14.25" customHeight="1" x14ac:dyDescent="0.35">
      <c r="E101" s="2" t="s">
        <v>49</v>
      </c>
      <c r="F101" s="2" t="s">
        <v>47</v>
      </c>
      <c r="I101" s="2">
        <v>1</v>
      </c>
      <c r="J101" s="23">
        <f>I101*$C$5*$AE$96</f>
        <v>2.5</v>
      </c>
      <c r="L101" s="23">
        <f>K101*$C$5*$AE$96</f>
        <v>0</v>
      </c>
      <c r="N101" s="23">
        <f>M101*$C$5*$AE$96</f>
        <v>0</v>
      </c>
      <c r="O101" s="2">
        <v>1</v>
      </c>
      <c r="P101" s="23">
        <f>O101*$C$5*$AE$96</f>
        <v>2.5</v>
      </c>
      <c r="R101" s="23">
        <f>Q101*$C$5*$AE$96</f>
        <v>0</v>
      </c>
      <c r="T101" s="23">
        <f>S101*$C$5*$AE$96</f>
        <v>0</v>
      </c>
      <c r="V101" s="23">
        <f>U101*$C$5*$AE$96</f>
        <v>0</v>
      </c>
      <c r="X101" s="23">
        <f>W101*$C$5*$AE$96</f>
        <v>0</v>
      </c>
      <c r="Z101" s="23">
        <f>Y101*$C$5*$AE$96</f>
        <v>0</v>
      </c>
      <c r="AB101" s="23">
        <f>AA101*$C$5*$AE$96</f>
        <v>0</v>
      </c>
      <c r="AD101" s="23">
        <f>AC101*$C$5*$AE$96</f>
        <v>0</v>
      </c>
    </row>
    <row r="102" spans="4:31" ht="14.25" customHeight="1" x14ac:dyDescent="0.35">
      <c r="F102" s="2" t="s">
        <v>5</v>
      </c>
      <c r="J102" s="23">
        <f>I102*$C$6*$AE$96</f>
        <v>0</v>
      </c>
      <c r="L102" s="23">
        <f>K102*$C$6*$AE$96</f>
        <v>0</v>
      </c>
      <c r="N102" s="23">
        <f>M102*$C$6*$AE$96</f>
        <v>0</v>
      </c>
      <c r="P102" s="23">
        <f>O102*$C$6*$AE$96</f>
        <v>0</v>
      </c>
      <c r="R102" s="23">
        <f>Q102*$C$6*$AE$96</f>
        <v>0</v>
      </c>
      <c r="S102" s="2">
        <v>1</v>
      </c>
      <c r="T102" s="23">
        <f>S102*$C$6*$AE$96</f>
        <v>1.25</v>
      </c>
      <c r="V102" s="23">
        <f>U102*$C$6*$AE$96</f>
        <v>0</v>
      </c>
      <c r="X102" s="23">
        <f>W102*$C$6*$AE$96</f>
        <v>0</v>
      </c>
      <c r="Z102" s="23">
        <f>Y102*$C$6*$AE$96</f>
        <v>0</v>
      </c>
      <c r="AA102" s="2">
        <v>1</v>
      </c>
      <c r="AB102" s="23">
        <f>AA102*$C$6*$AE$96</f>
        <v>1.25</v>
      </c>
      <c r="AD102" s="23">
        <f>AC102*$C$6*$AE$96</f>
        <v>0</v>
      </c>
    </row>
    <row r="103" spans="4:31" ht="14.25" customHeight="1" x14ac:dyDescent="0.35">
      <c r="F103" s="2" t="s">
        <v>23</v>
      </c>
      <c r="J103" s="23">
        <f>I103*$C$7*$AE$96</f>
        <v>0</v>
      </c>
      <c r="L103" s="23">
        <f>K103*$C$7*$AE$96</f>
        <v>0</v>
      </c>
      <c r="N103" s="23">
        <f>M103*$C$7*$AE$96</f>
        <v>0</v>
      </c>
      <c r="P103" s="23">
        <f>O103*$C$7*$AE$96</f>
        <v>0</v>
      </c>
      <c r="R103" s="23">
        <f>Q103*$C$7*$AE$96</f>
        <v>0</v>
      </c>
      <c r="T103" s="23">
        <f>S103*$C$7*$AE$96</f>
        <v>0</v>
      </c>
      <c r="V103" s="23">
        <f>U103*$C$7*$AE$96</f>
        <v>0</v>
      </c>
      <c r="X103" s="23">
        <f>W103*$C$7*$AE$96</f>
        <v>0</v>
      </c>
      <c r="Z103" s="23">
        <f>Y103*$C$7*$AE$96</f>
        <v>0</v>
      </c>
      <c r="AB103" s="23">
        <f>AA103*$C$7*$AE$96</f>
        <v>0</v>
      </c>
      <c r="AD103" s="23">
        <f>AC103*$C$7*$AE$96</f>
        <v>0</v>
      </c>
    </row>
    <row r="104" spans="4:31" ht="14.25" customHeight="1" x14ac:dyDescent="0.35">
      <c r="F104" s="2" t="s">
        <v>72</v>
      </c>
      <c r="J104" s="23">
        <f>I104*$C$8*$AE$96</f>
        <v>0</v>
      </c>
      <c r="L104" s="23">
        <f>K104*$C$8*$AE$96</f>
        <v>0</v>
      </c>
      <c r="N104" s="23">
        <f>M104*$C$8*$AE$96</f>
        <v>0</v>
      </c>
      <c r="P104" s="23">
        <f>O104*$C$8*$AE$96</f>
        <v>0</v>
      </c>
      <c r="R104" s="23">
        <f>Q104*$C$8*$AE$96</f>
        <v>0</v>
      </c>
      <c r="T104" s="23">
        <f>S104*$C$8*$AE$96</f>
        <v>0</v>
      </c>
      <c r="V104" s="23">
        <f>U104*$C$8*$AE$96</f>
        <v>0</v>
      </c>
      <c r="X104" s="23">
        <f>W104*$C$8*$AE$96</f>
        <v>0</v>
      </c>
      <c r="Z104" s="23">
        <f>Y104*$C$8*$AE$96</f>
        <v>0</v>
      </c>
      <c r="AB104" s="23">
        <f>AA104*$C$8*$AE$96</f>
        <v>0</v>
      </c>
      <c r="AD104" s="23">
        <f>AC104*$C$8*$AE$96</f>
        <v>0</v>
      </c>
    </row>
    <row r="105" spans="4:31" ht="14.25" customHeight="1" x14ac:dyDescent="0.45">
      <c r="F105" s="15" t="s">
        <v>51</v>
      </c>
      <c r="J105" s="24">
        <f>SUM(J97:J104)</f>
        <v>5</v>
      </c>
      <c r="L105" s="24">
        <f>SUM(L97:L104)</f>
        <v>2.5</v>
      </c>
      <c r="M105" s="25"/>
      <c r="N105" s="24">
        <f>SUM(N97:N104)</f>
        <v>0</v>
      </c>
      <c r="O105" s="25"/>
      <c r="P105" s="24">
        <f>SUM(P97:P104)</f>
        <v>2.5</v>
      </c>
      <c r="Q105" s="25"/>
      <c r="R105" s="24">
        <f>SUM(R97:R104)</f>
        <v>0</v>
      </c>
      <c r="S105" s="25"/>
      <c r="T105" s="24">
        <f>SUM(T97:T104)</f>
        <v>2.083333333333333</v>
      </c>
      <c r="U105" s="25"/>
      <c r="V105" s="24">
        <f>SUM(V97:V104)</f>
        <v>0</v>
      </c>
      <c r="W105" s="25"/>
      <c r="X105" s="24">
        <f>SUM(X97:X104)</f>
        <v>0</v>
      </c>
      <c r="Y105" s="25"/>
      <c r="Z105" s="24">
        <f>SUM(Z97:Z104)</f>
        <v>0</v>
      </c>
      <c r="AA105" s="25"/>
      <c r="AB105" s="24">
        <f>SUM(AB97:AB104)</f>
        <v>2.5</v>
      </c>
      <c r="AC105" s="25"/>
      <c r="AD105" s="24">
        <f>SUM(AD97:AD104)</f>
        <v>0</v>
      </c>
    </row>
    <row r="106" spans="4:31" ht="14.25" customHeight="1" x14ac:dyDescent="0.35"/>
    <row r="107" spans="4:31" ht="14.25" customHeight="1" x14ac:dyDescent="0.35">
      <c r="J107" s="9" t="s">
        <v>16</v>
      </c>
      <c r="L107" s="9" t="s">
        <v>14</v>
      </c>
      <c r="N107" s="9" t="s">
        <v>20</v>
      </c>
      <c r="P107" s="9" t="s">
        <v>25</v>
      </c>
      <c r="R107" s="9" t="s">
        <v>26</v>
      </c>
      <c r="T107" s="9" t="s">
        <v>27</v>
      </c>
      <c r="V107" s="9" t="s">
        <v>28</v>
      </c>
      <c r="X107" s="9" t="s">
        <v>41</v>
      </c>
      <c r="Z107" s="9" t="s">
        <v>30</v>
      </c>
      <c r="AB107" s="9" t="s">
        <v>22</v>
      </c>
      <c r="AD107" s="9" t="s">
        <v>31</v>
      </c>
      <c r="AE107" s="22" t="s">
        <v>42</v>
      </c>
    </row>
    <row r="108" spans="4:31" ht="14.25" customHeight="1" x14ac:dyDescent="0.35">
      <c r="D108" s="29">
        <v>46032</v>
      </c>
      <c r="E108" s="2" t="s">
        <v>44</v>
      </c>
      <c r="I108" s="9"/>
      <c r="J108" s="9">
        <v>1</v>
      </c>
      <c r="K108" s="9"/>
      <c r="L108" s="9">
        <v>1</v>
      </c>
      <c r="M108" s="9"/>
      <c r="N108" s="9">
        <v>1</v>
      </c>
      <c r="O108" s="9"/>
      <c r="P108" s="9"/>
      <c r="Q108" s="9"/>
      <c r="R108" s="9">
        <v>1</v>
      </c>
      <c r="S108" s="9"/>
      <c r="T108" s="9">
        <v>1</v>
      </c>
      <c r="U108" s="9"/>
      <c r="V108" s="9"/>
      <c r="W108" s="9"/>
      <c r="X108" s="9">
        <v>1</v>
      </c>
      <c r="Y108" s="9"/>
      <c r="Z108" s="9"/>
      <c r="AA108" s="9"/>
      <c r="AB108" s="9">
        <v>1</v>
      </c>
      <c r="AC108" s="9"/>
      <c r="AD108" s="9">
        <v>1</v>
      </c>
      <c r="AE108" s="22">
        <f>SUM(I108:AD108)</f>
        <v>8</v>
      </c>
    </row>
    <row r="109" spans="4:31" ht="14.25" customHeight="1" x14ac:dyDescent="0.45">
      <c r="E109" s="2" t="s">
        <v>46</v>
      </c>
      <c r="F109" s="2" t="s">
        <v>47</v>
      </c>
      <c r="J109" s="30">
        <f>I109*$C$5*$AE$108</f>
        <v>0</v>
      </c>
      <c r="L109" s="30">
        <f>K109*$C$5*$AE$108</f>
        <v>0</v>
      </c>
      <c r="N109" s="30">
        <f>M109*$C$5*$AE$108</f>
        <v>0</v>
      </c>
      <c r="P109" s="30">
        <f>O109*$C$5*$AE$108</f>
        <v>0</v>
      </c>
      <c r="R109" s="30">
        <f>Q109*$C$5*$AE$108</f>
        <v>0</v>
      </c>
      <c r="T109" s="30">
        <f>S109*$C$5*$AE$108</f>
        <v>0</v>
      </c>
      <c r="V109" s="30">
        <f>U109*$C$5*$AE$108</f>
        <v>0</v>
      </c>
      <c r="W109" s="2">
        <v>1</v>
      </c>
      <c r="X109" s="30">
        <f>W109*$C$5*$AE$108</f>
        <v>2</v>
      </c>
      <c r="Z109" s="30">
        <f>Y109*$C$5*$AE$108</f>
        <v>0</v>
      </c>
      <c r="AB109" s="30">
        <f>AA109*$C$5*$AE$108</f>
        <v>0</v>
      </c>
      <c r="AC109" s="2">
        <v>1</v>
      </c>
      <c r="AD109" s="30">
        <f>AC109*$C$5*$AE$108</f>
        <v>2</v>
      </c>
    </row>
    <row r="110" spans="4:31" ht="14.25" customHeight="1" x14ac:dyDescent="0.45">
      <c r="F110" s="2" t="s">
        <v>5</v>
      </c>
      <c r="J110" s="30">
        <f>I110*$C$6*$AE$108</f>
        <v>0</v>
      </c>
      <c r="L110" s="30">
        <f>K110*$C$6*$AE$108</f>
        <v>0</v>
      </c>
      <c r="M110" s="2">
        <v>1</v>
      </c>
      <c r="N110" s="30">
        <f>M110*$C$6*$AE$108</f>
        <v>1</v>
      </c>
      <c r="P110" s="30">
        <f>O110*$C$6*$AE$108</f>
        <v>0</v>
      </c>
      <c r="R110" s="30">
        <f>Q110*$C$6*$AE$108</f>
        <v>0</v>
      </c>
      <c r="T110" s="30">
        <f>S110*$C$6*$AE$108</f>
        <v>0</v>
      </c>
      <c r="V110" s="30">
        <f>U110*$C$6*$AE$108</f>
        <v>0</v>
      </c>
      <c r="X110" s="30">
        <f>W110*$C$6*$AE$108</f>
        <v>0</v>
      </c>
      <c r="Z110" s="30">
        <f>Y110*$C$6*$AE$108</f>
        <v>0</v>
      </c>
      <c r="AB110" s="30">
        <f>AA110*$C$6*$AE$108</f>
        <v>0</v>
      </c>
      <c r="AD110" s="30">
        <f>AC110*$C$6*$AE$108</f>
        <v>0</v>
      </c>
    </row>
    <row r="111" spans="4:31" ht="14.25" customHeight="1" x14ac:dyDescent="0.45">
      <c r="F111" s="2" t="s">
        <v>23</v>
      </c>
      <c r="J111" s="30">
        <f>I111*$C$7*$AE$108</f>
        <v>0</v>
      </c>
      <c r="L111" s="30">
        <f>K111*$C$7*$AE$108</f>
        <v>0</v>
      </c>
      <c r="N111" s="30">
        <f>M111*$C$7*$AE$108</f>
        <v>0</v>
      </c>
      <c r="P111" s="30">
        <f>O111*$C$7*$AE$108</f>
        <v>0</v>
      </c>
      <c r="R111" s="30">
        <f>Q111*$C$7*$AE$108</f>
        <v>0</v>
      </c>
      <c r="T111" s="30">
        <f>S111*$C$7*$AE$108</f>
        <v>0</v>
      </c>
      <c r="V111" s="30">
        <f>U111*$C$7*$AE$108</f>
        <v>0</v>
      </c>
      <c r="X111" s="30">
        <f>W111*$C$7*$AE$108</f>
        <v>0</v>
      </c>
      <c r="Z111" s="30">
        <f>Y111*$C$7*$AE$108</f>
        <v>0</v>
      </c>
      <c r="AA111" s="2">
        <v>1</v>
      </c>
      <c r="AB111" s="30">
        <f>AA111*$C$7*$AE$108</f>
        <v>0.66666666666666663</v>
      </c>
      <c r="AD111" s="30">
        <f>AC111*$C$7*$AE$108</f>
        <v>0</v>
      </c>
    </row>
    <row r="112" spans="4:31" ht="14.25" customHeight="1" x14ac:dyDescent="0.45">
      <c r="E112" s="2" t="s">
        <v>49</v>
      </c>
      <c r="F112" s="2" t="s">
        <v>47</v>
      </c>
      <c r="I112" s="2">
        <v>1</v>
      </c>
      <c r="J112" s="30">
        <f>I112*$C$5*$AE$108</f>
        <v>2</v>
      </c>
      <c r="L112" s="30">
        <f>K112*$C$5*$AE$108</f>
        <v>0</v>
      </c>
      <c r="N112" s="30">
        <f>M112*$C$5*$AE$108</f>
        <v>0</v>
      </c>
      <c r="P112" s="30">
        <f>O112*$C$5*$AE$108</f>
        <v>0</v>
      </c>
      <c r="R112" s="30">
        <f>Q112*$C$5*$AE$108</f>
        <v>0</v>
      </c>
      <c r="T112" s="30">
        <f>S112*$C$5*$AE$108</f>
        <v>0</v>
      </c>
      <c r="V112" s="30">
        <f>U112*$C$5*$AE$108</f>
        <v>0</v>
      </c>
      <c r="X112" s="30">
        <f>W112*$C$5*$AE$108</f>
        <v>0</v>
      </c>
      <c r="Z112" s="30">
        <f>Y112*$C$5*$AE$108</f>
        <v>0</v>
      </c>
      <c r="AA112" s="2">
        <v>1</v>
      </c>
      <c r="AB112" s="30">
        <f>AA112*$C$5*$AE$108</f>
        <v>2</v>
      </c>
      <c r="AD112" s="30">
        <f>AC112*$C$5*$AE$108</f>
        <v>0</v>
      </c>
    </row>
    <row r="113" spans="6:30" ht="14.25" customHeight="1" x14ac:dyDescent="0.45">
      <c r="F113" s="2" t="s">
        <v>5</v>
      </c>
      <c r="J113" s="30">
        <f>I113*$C$6*$AE$108</f>
        <v>0</v>
      </c>
      <c r="L113" s="30">
        <f>K113*$C$6*$AE$108</f>
        <v>0</v>
      </c>
      <c r="N113" s="30">
        <f>M113*$C$6*$AE$108</f>
        <v>0</v>
      </c>
      <c r="P113" s="30">
        <f>O113*$C$6*$AE$108</f>
        <v>0</v>
      </c>
      <c r="Q113" s="2">
        <v>1</v>
      </c>
      <c r="R113" s="30">
        <f>Q113*$C$6*$AE$108</f>
        <v>1</v>
      </c>
      <c r="T113" s="30">
        <f>S113*$C$6*$AE$108</f>
        <v>0</v>
      </c>
      <c r="V113" s="30">
        <f>U113*$C$6*$AE$108</f>
        <v>0</v>
      </c>
      <c r="X113" s="30">
        <f>W113*$C$6*$AE$108</f>
        <v>0</v>
      </c>
      <c r="Z113" s="30">
        <f>Y113*$C$6*$AE$108</f>
        <v>0</v>
      </c>
      <c r="AB113" s="30">
        <f>AA113*$C$6*$AE$108</f>
        <v>0</v>
      </c>
      <c r="AD113" s="30">
        <f>AC113*$C$6*$AE$108</f>
        <v>0</v>
      </c>
    </row>
    <row r="114" spans="6:30" ht="14.25" customHeight="1" x14ac:dyDescent="0.45">
      <c r="F114" s="2" t="s">
        <v>23</v>
      </c>
      <c r="J114" s="30">
        <f>I114*$C$7*$AE$108</f>
        <v>0</v>
      </c>
      <c r="L114" s="30">
        <f>K114*$C$7*$AE$108</f>
        <v>0</v>
      </c>
      <c r="N114" s="30">
        <f>M114*$C$7*$AE$108</f>
        <v>0</v>
      </c>
      <c r="P114" s="30">
        <f>O114*$C$7*$AE$108</f>
        <v>0</v>
      </c>
      <c r="R114" s="30">
        <f>Q114*$C$7*$AE$108</f>
        <v>0</v>
      </c>
      <c r="S114" s="2">
        <v>1</v>
      </c>
      <c r="T114" s="30">
        <f>S114*$C$7*$AE$108</f>
        <v>0.66666666666666663</v>
      </c>
      <c r="V114" s="30">
        <f>U114*$C$7*$AE$108</f>
        <v>0</v>
      </c>
      <c r="X114" s="30">
        <f>W114*$C$7*$AE$108</f>
        <v>0</v>
      </c>
      <c r="Z114" s="30">
        <f>Y114*$C$7*$AE$108</f>
        <v>0</v>
      </c>
      <c r="AB114" s="30">
        <f>AA114*$C$7*$AE$108</f>
        <v>0</v>
      </c>
      <c r="AD114" s="30">
        <f>AC114*$C$7*$AE$108</f>
        <v>0</v>
      </c>
    </row>
    <row r="115" spans="6:30" ht="14.25" customHeight="1" x14ac:dyDescent="0.45">
      <c r="F115" s="15" t="s">
        <v>51</v>
      </c>
      <c r="J115" s="34">
        <f>SUM(J109:J114)</f>
        <v>2</v>
      </c>
      <c r="L115" s="34">
        <f>SUM(L109:L114)</f>
        <v>0</v>
      </c>
      <c r="N115" s="34">
        <f>SUM(N109:N114)</f>
        <v>1</v>
      </c>
      <c r="P115" s="34">
        <f>SUM(P109:P114)</f>
        <v>0</v>
      </c>
      <c r="R115" s="34">
        <f>SUM(R109:R114)</f>
        <v>1</v>
      </c>
      <c r="T115" s="34">
        <f>SUM(T109:T114)</f>
        <v>0.66666666666666663</v>
      </c>
      <c r="V115" s="34">
        <f>SUM(V109:V114)</f>
        <v>0</v>
      </c>
      <c r="X115" s="34">
        <f>SUM(X109:X114)</f>
        <v>2</v>
      </c>
      <c r="Z115" s="34">
        <f>SUM(Z109:Z114)</f>
        <v>0</v>
      </c>
      <c r="AB115" s="34">
        <f>SUM(AB109:AB114)</f>
        <v>2.6666666666666665</v>
      </c>
      <c r="AD115" s="34">
        <f>SUM(AD109:AD114)</f>
        <v>2</v>
      </c>
    </row>
    <row r="116" spans="6:30" ht="14.25" customHeight="1" x14ac:dyDescent="0.35"/>
    <row r="117" spans="6:30" ht="14.25" customHeight="1" x14ac:dyDescent="0.35"/>
    <row r="118" spans="6:30" ht="14.25" customHeight="1" x14ac:dyDescent="0.35"/>
    <row r="119" spans="6:30" ht="14.25" customHeight="1" x14ac:dyDescent="0.35"/>
    <row r="120" spans="6:30" ht="14.25" customHeight="1" x14ac:dyDescent="0.35"/>
    <row r="121" spans="6:30" ht="14.25" customHeight="1" x14ac:dyDescent="0.35"/>
    <row r="122" spans="6:30" ht="14.25" customHeight="1" x14ac:dyDescent="0.35"/>
    <row r="123" spans="6:30" ht="14.25" customHeight="1" x14ac:dyDescent="0.35"/>
    <row r="124" spans="6:30" ht="14.25" customHeight="1" x14ac:dyDescent="0.35"/>
    <row r="125" spans="6:30" ht="14.25" customHeight="1" x14ac:dyDescent="0.35"/>
    <row r="126" spans="6:30" ht="14.25" customHeight="1" x14ac:dyDescent="0.35"/>
    <row r="127" spans="6:30" ht="14.25" customHeight="1" x14ac:dyDescent="0.35"/>
    <row r="128" spans="6:30" ht="14.25" customHeight="1" x14ac:dyDescent="0.35"/>
    <row r="129" ht="14.25" customHeight="1" x14ac:dyDescent="0.35"/>
    <row r="130" ht="14.25" customHeight="1" x14ac:dyDescent="0.35"/>
    <row r="131" ht="14.25" customHeight="1" x14ac:dyDescent="0.35"/>
    <row r="132" ht="14.25" customHeight="1" x14ac:dyDescent="0.35"/>
    <row r="133" ht="14.25" customHeight="1" x14ac:dyDescent="0.35"/>
    <row r="134" ht="14.25" customHeight="1" x14ac:dyDescent="0.35"/>
    <row r="135" ht="14.25" customHeight="1" x14ac:dyDescent="0.35"/>
    <row r="136" ht="14.25" customHeight="1" x14ac:dyDescent="0.35"/>
    <row r="137" ht="14.25" customHeight="1" x14ac:dyDescent="0.35"/>
    <row r="138" ht="14.25" customHeight="1" x14ac:dyDescent="0.35"/>
    <row r="139" ht="14.25" customHeight="1" x14ac:dyDescent="0.35"/>
    <row r="140" ht="14.25" customHeight="1" x14ac:dyDescent="0.35"/>
    <row r="141" ht="14.25" customHeight="1" x14ac:dyDescent="0.35"/>
    <row r="142" ht="14.25" customHeight="1" x14ac:dyDescent="0.35"/>
    <row r="143" ht="14.25" customHeight="1" x14ac:dyDescent="0.35"/>
    <row r="144" ht="14.25" customHeight="1" x14ac:dyDescent="0.35"/>
    <row r="145" ht="14.25" customHeight="1" x14ac:dyDescent="0.35"/>
    <row r="146" ht="14.25" customHeight="1" x14ac:dyDescent="0.35"/>
    <row r="147" ht="14.25" customHeight="1" x14ac:dyDescent="0.35"/>
    <row r="148" ht="14.25" customHeight="1" x14ac:dyDescent="0.35"/>
    <row r="149" ht="14.25" customHeight="1" x14ac:dyDescent="0.35"/>
    <row r="150" ht="14.25" customHeight="1" x14ac:dyDescent="0.35"/>
    <row r="151" ht="14.25" customHeight="1" x14ac:dyDescent="0.35"/>
    <row r="152" ht="14.25" customHeight="1" x14ac:dyDescent="0.35"/>
    <row r="153" ht="14.25" customHeight="1" x14ac:dyDescent="0.35"/>
    <row r="154" ht="14.25" customHeight="1" x14ac:dyDescent="0.35"/>
    <row r="155" ht="14.25" customHeight="1" x14ac:dyDescent="0.35"/>
    <row r="156" ht="14.25" customHeight="1" x14ac:dyDescent="0.35"/>
    <row r="157" ht="14.25" customHeight="1" x14ac:dyDescent="0.35"/>
    <row r="158" ht="14.25" customHeight="1" x14ac:dyDescent="0.35"/>
    <row r="159" ht="14.25" customHeight="1" x14ac:dyDescent="0.35"/>
    <row r="160" ht="14.25" customHeight="1" x14ac:dyDescent="0.35"/>
    <row r="161" ht="14.25" customHeight="1" x14ac:dyDescent="0.35"/>
    <row r="162" ht="14.25" customHeight="1" x14ac:dyDescent="0.35"/>
    <row r="163" ht="14.25" customHeight="1" x14ac:dyDescent="0.35"/>
    <row r="164" ht="14.25" customHeight="1" x14ac:dyDescent="0.35"/>
    <row r="165" ht="14.25" customHeight="1" x14ac:dyDescent="0.35"/>
    <row r="166" ht="14.25" customHeight="1" x14ac:dyDescent="0.35"/>
    <row r="167" ht="14.25" customHeight="1" x14ac:dyDescent="0.35"/>
    <row r="168" ht="14.25" customHeight="1" x14ac:dyDescent="0.35"/>
    <row r="169" ht="14.25" customHeight="1" x14ac:dyDescent="0.35"/>
    <row r="170" ht="14.25" customHeight="1" x14ac:dyDescent="0.35"/>
    <row r="171" ht="14.25" customHeight="1" x14ac:dyDescent="0.35"/>
    <row r="172" ht="14.25" customHeight="1" x14ac:dyDescent="0.35"/>
    <row r="173" ht="14.25" customHeight="1" x14ac:dyDescent="0.35"/>
    <row r="174" ht="14.25" customHeight="1" x14ac:dyDescent="0.35"/>
    <row r="175" ht="14.25" customHeight="1" x14ac:dyDescent="0.35"/>
    <row r="176" ht="14.25" customHeight="1" x14ac:dyDescent="0.35"/>
    <row r="177" ht="14.25" customHeight="1" x14ac:dyDescent="0.35"/>
    <row r="178" ht="14.25" customHeight="1" x14ac:dyDescent="0.35"/>
    <row r="179" ht="14.25" customHeight="1" x14ac:dyDescent="0.35"/>
    <row r="180" ht="14.25" customHeight="1" x14ac:dyDescent="0.35"/>
    <row r="181" ht="14.25" customHeight="1" x14ac:dyDescent="0.35"/>
    <row r="182" ht="14.25" customHeight="1" x14ac:dyDescent="0.35"/>
    <row r="183" ht="14.25" customHeight="1" x14ac:dyDescent="0.35"/>
    <row r="184" ht="14.25" customHeight="1" x14ac:dyDescent="0.35"/>
    <row r="185" ht="14.25" customHeight="1" x14ac:dyDescent="0.35"/>
    <row r="186" ht="14.25" customHeight="1" x14ac:dyDescent="0.35"/>
    <row r="187" ht="14.25" customHeight="1" x14ac:dyDescent="0.35"/>
    <row r="188" ht="14.25" customHeight="1" x14ac:dyDescent="0.35"/>
    <row r="189" ht="14.25" customHeight="1" x14ac:dyDescent="0.35"/>
    <row r="190" ht="14.25" customHeight="1" x14ac:dyDescent="0.35"/>
    <row r="191" ht="14.25" customHeight="1" x14ac:dyDescent="0.35"/>
    <row r="192" ht="14.25" customHeight="1" x14ac:dyDescent="0.35"/>
    <row r="193" ht="14.25" customHeight="1" x14ac:dyDescent="0.35"/>
    <row r="194" ht="14.25" customHeight="1" x14ac:dyDescent="0.35"/>
    <row r="195" ht="14.25" customHeight="1" x14ac:dyDescent="0.35"/>
    <row r="196" ht="14.25" customHeight="1" x14ac:dyDescent="0.35"/>
    <row r="197" ht="14.25" customHeight="1" x14ac:dyDescent="0.35"/>
    <row r="198" ht="14.25" customHeight="1" x14ac:dyDescent="0.35"/>
    <row r="199" ht="14.25" customHeight="1" x14ac:dyDescent="0.35"/>
    <row r="200" ht="14.25" customHeight="1" x14ac:dyDescent="0.35"/>
    <row r="201" ht="14.25" customHeight="1" x14ac:dyDescent="0.35"/>
    <row r="202" ht="14.25" customHeight="1" x14ac:dyDescent="0.35"/>
    <row r="203" ht="14.25" customHeight="1" x14ac:dyDescent="0.35"/>
    <row r="204" ht="14.25" customHeight="1" x14ac:dyDescent="0.35"/>
    <row r="205" ht="14.25" customHeight="1" x14ac:dyDescent="0.35"/>
    <row r="206" ht="14.25" customHeight="1" x14ac:dyDescent="0.35"/>
    <row r="207" ht="14.25" customHeight="1" x14ac:dyDescent="0.35"/>
    <row r="208" ht="14.25" customHeight="1" x14ac:dyDescent="0.35"/>
    <row r="209" ht="14.25" customHeight="1" x14ac:dyDescent="0.35"/>
    <row r="210" ht="14.25" customHeight="1" x14ac:dyDescent="0.35"/>
    <row r="211" ht="14.25" customHeight="1" x14ac:dyDescent="0.35"/>
    <row r="212" ht="14.25" customHeight="1" x14ac:dyDescent="0.35"/>
    <row r="213" ht="14.25" customHeight="1" x14ac:dyDescent="0.35"/>
    <row r="214" ht="14.25" customHeight="1" x14ac:dyDescent="0.35"/>
    <row r="215" ht="14.25" customHeight="1" x14ac:dyDescent="0.35"/>
    <row r="216" ht="14.25" customHeight="1" x14ac:dyDescent="0.35"/>
    <row r="217" ht="14.25" customHeight="1" x14ac:dyDescent="0.35"/>
    <row r="218" ht="14.25" customHeight="1" x14ac:dyDescent="0.35"/>
    <row r="219" ht="14.25" customHeight="1" x14ac:dyDescent="0.35"/>
    <row r="220" ht="14.25" customHeight="1" x14ac:dyDescent="0.35"/>
    <row r="221" ht="14.25" customHeight="1" x14ac:dyDescent="0.35"/>
    <row r="222" ht="14.25" customHeight="1" x14ac:dyDescent="0.35"/>
    <row r="223" ht="14.25" customHeight="1" x14ac:dyDescent="0.35"/>
    <row r="224" ht="14.25" customHeight="1" x14ac:dyDescent="0.35"/>
    <row r="225" ht="14.25" customHeight="1" x14ac:dyDescent="0.35"/>
    <row r="226" ht="14.25" customHeight="1" x14ac:dyDescent="0.35"/>
    <row r="227" ht="14.25" customHeight="1" x14ac:dyDescent="0.35"/>
    <row r="228" ht="14.25" customHeight="1" x14ac:dyDescent="0.35"/>
    <row r="229" ht="14.25" customHeight="1" x14ac:dyDescent="0.35"/>
    <row r="230" ht="14.25" customHeight="1" x14ac:dyDescent="0.35"/>
    <row r="231" ht="14.25" customHeight="1" x14ac:dyDescent="0.35"/>
    <row r="232" ht="14.25" customHeight="1" x14ac:dyDescent="0.35"/>
    <row r="233" ht="14.25" customHeight="1" x14ac:dyDescent="0.35"/>
    <row r="234" ht="14.25" customHeight="1" x14ac:dyDescent="0.35"/>
    <row r="235" ht="14.25" customHeight="1" x14ac:dyDescent="0.35"/>
    <row r="236" ht="14.25" customHeight="1" x14ac:dyDescent="0.35"/>
    <row r="237" ht="14.25" customHeight="1" x14ac:dyDescent="0.35"/>
    <row r="238" ht="14.25" customHeight="1" x14ac:dyDescent="0.35"/>
    <row r="239" ht="14.25" customHeight="1" x14ac:dyDescent="0.35"/>
    <row r="240" ht="14.25" customHeight="1" x14ac:dyDescent="0.35"/>
    <row r="241" ht="14.25" customHeight="1" x14ac:dyDescent="0.35"/>
    <row r="242" ht="14.25" customHeight="1" x14ac:dyDescent="0.35"/>
    <row r="243" ht="14.25" customHeight="1" x14ac:dyDescent="0.35"/>
    <row r="244" ht="14.25" customHeight="1" x14ac:dyDescent="0.35"/>
    <row r="245" ht="14.25" customHeight="1" x14ac:dyDescent="0.35"/>
    <row r="246" ht="14.25" customHeight="1" x14ac:dyDescent="0.35"/>
    <row r="247" ht="14.25" customHeight="1" x14ac:dyDescent="0.35"/>
    <row r="248" ht="14.25" customHeight="1" x14ac:dyDescent="0.35"/>
    <row r="249" ht="14.25" customHeight="1" x14ac:dyDescent="0.35"/>
    <row r="250" ht="14.25" customHeight="1" x14ac:dyDescent="0.35"/>
    <row r="251" ht="14.25" customHeight="1" x14ac:dyDescent="0.35"/>
    <row r="252" ht="14.25" customHeight="1" x14ac:dyDescent="0.35"/>
    <row r="253" ht="14.25" customHeight="1" x14ac:dyDescent="0.35"/>
    <row r="254" ht="14.25" customHeight="1" x14ac:dyDescent="0.35"/>
    <row r="255" ht="14.25" customHeight="1" x14ac:dyDescent="0.35"/>
    <row r="256" ht="14.25" customHeight="1" x14ac:dyDescent="0.35"/>
    <row r="257" ht="14.25" customHeight="1" x14ac:dyDescent="0.35"/>
    <row r="258" ht="14.25" customHeight="1" x14ac:dyDescent="0.35"/>
    <row r="259" ht="14.25" customHeight="1" x14ac:dyDescent="0.35"/>
    <row r="260" ht="14.25" customHeight="1" x14ac:dyDescent="0.35"/>
    <row r="261" ht="14.25" customHeight="1" x14ac:dyDescent="0.35"/>
    <row r="262" ht="14.25" customHeight="1" x14ac:dyDescent="0.35"/>
    <row r="263" ht="14.25" customHeight="1" x14ac:dyDescent="0.35"/>
    <row r="264" ht="14.25" customHeight="1" x14ac:dyDescent="0.35"/>
    <row r="265" ht="14.25" customHeight="1" x14ac:dyDescent="0.35"/>
    <row r="266" ht="14.25" customHeight="1" x14ac:dyDescent="0.35"/>
    <row r="267" ht="14.25" customHeight="1" x14ac:dyDescent="0.35"/>
    <row r="268" ht="14.25" customHeight="1" x14ac:dyDescent="0.35"/>
    <row r="269" ht="14.25" customHeight="1" x14ac:dyDescent="0.35"/>
    <row r="270" ht="14.25" customHeight="1" x14ac:dyDescent="0.35"/>
    <row r="271" ht="14.25" customHeight="1" x14ac:dyDescent="0.35"/>
    <row r="272" ht="14.25" customHeight="1" x14ac:dyDescent="0.35"/>
    <row r="273" ht="14.25" customHeight="1" x14ac:dyDescent="0.35"/>
    <row r="274" ht="14.25" customHeight="1" x14ac:dyDescent="0.35"/>
    <row r="275" ht="14.25" customHeight="1" x14ac:dyDescent="0.35"/>
    <row r="276" ht="14.25" customHeight="1" x14ac:dyDescent="0.35"/>
    <row r="277" ht="14.25" customHeight="1" x14ac:dyDescent="0.35"/>
    <row r="278" ht="14.25" customHeight="1" x14ac:dyDescent="0.35"/>
    <row r="279" ht="14.25" customHeight="1" x14ac:dyDescent="0.35"/>
    <row r="280" ht="14.25" customHeight="1" x14ac:dyDescent="0.35"/>
    <row r="281" ht="14.25" customHeight="1" x14ac:dyDescent="0.35"/>
    <row r="282" ht="14.25" customHeight="1" x14ac:dyDescent="0.35"/>
    <row r="283" ht="14.25" customHeight="1" x14ac:dyDescent="0.35"/>
    <row r="284" ht="14.25" customHeight="1" x14ac:dyDescent="0.35"/>
    <row r="285" ht="14.25" customHeight="1" x14ac:dyDescent="0.35"/>
    <row r="286" ht="14.25" customHeight="1" x14ac:dyDescent="0.35"/>
    <row r="287" ht="14.25" customHeight="1" x14ac:dyDescent="0.35"/>
    <row r="288" ht="14.25" customHeight="1" x14ac:dyDescent="0.35"/>
    <row r="289" ht="14.25" customHeight="1" x14ac:dyDescent="0.35"/>
    <row r="290" ht="14.25" customHeight="1" x14ac:dyDescent="0.35"/>
    <row r="291" ht="14.25" customHeight="1" x14ac:dyDescent="0.35"/>
    <row r="292" ht="14.25" customHeight="1" x14ac:dyDescent="0.35"/>
    <row r="293" ht="14.25" customHeight="1" x14ac:dyDescent="0.35"/>
    <row r="294" ht="14.25" customHeight="1" x14ac:dyDescent="0.35"/>
    <row r="295" ht="14.25" customHeight="1" x14ac:dyDescent="0.35"/>
    <row r="296" ht="14.25" customHeight="1" x14ac:dyDescent="0.35"/>
    <row r="297" ht="14.25" customHeight="1" x14ac:dyDescent="0.35"/>
    <row r="298" ht="14.25" customHeight="1" x14ac:dyDescent="0.35"/>
    <row r="299" ht="14.25" customHeight="1" x14ac:dyDescent="0.35"/>
    <row r="300" ht="14.25" customHeight="1" x14ac:dyDescent="0.35"/>
    <row r="301" ht="14.25" customHeight="1" x14ac:dyDescent="0.35"/>
    <row r="302" ht="14.25" customHeight="1" x14ac:dyDescent="0.35"/>
    <row r="303" ht="14.25" customHeight="1" x14ac:dyDescent="0.35"/>
    <row r="304" ht="14.25" customHeight="1" x14ac:dyDescent="0.35"/>
    <row r="305" ht="14.25" customHeight="1" x14ac:dyDescent="0.35"/>
    <row r="306" ht="14.25" customHeight="1" x14ac:dyDescent="0.35"/>
    <row r="307" ht="14.25" customHeight="1" x14ac:dyDescent="0.35"/>
    <row r="308" ht="14.25" customHeight="1" x14ac:dyDescent="0.35"/>
    <row r="309" ht="14.25" customHeight="1" x14ac:dyDescent="0.35"/>
    <row r="310" ht="14.25" customHeight="1" x14ac:dyDescent="0.35"/>
    <row r="311" ht="14.25" customHeight="1" x14ac:dyDescent="0.35"/>
    <row r="312" ht="14.25" customHeight="1" x14ac:dyDescent="0.35"/>
    <row r="313" ht="14.25" customHeight="1" x14ac:dyDescent="0.35"/>
    <row r="314" ht="14.25" customHeight="1" x14ac:dyDescent="0.35"/>
    <row r="315" ht="14.25" customHeight="1" x14ac:dyDescent="0.35"/>
    <row r="316" ht="14.25" customHeight="1" x14ac:dyDescent="0.35"/>
    <row r="317" ht="14.25" customHeight="1" x14ac:dyDescent="0.35"/>
    <row r="318" ht="14.25" customHeight="1" x14ac:dyDescent="0.35"/>
    <row r="319" ht="14.25" customHeight="1" x14ac:dyDescent="0.35"/>
    <row r="320" ht="14.25" customHeight="1" x14ac:dyDescent="0.35"/>
    <row r="321" ht="14.25" customHeight="1" x14ac:dyDescent="0.35"/>
    <row r="322" ht="14.25" customHeight="1" x14ac:dyDescent="0.35"/>
    <row r="323" ht="14.25" customHeight="1" x14ac:dyDescent="0.35"/>
    <row r="324" ht="14.25" customHeight="1" x14ac:dyDescent="0.35"/>
    <row r="325" ht="14.25" customHeight="1" x14ac:dyDescent="0.35"/>
    <row r="326" ht="14.25" customHeight="1" x14ac:dyDescent="0.35"/>
    <row r="327" ht="14.25" customHeight="1" x14ac:dyDescent="0.35"/>
    <row r="328" ht="14.25" customHeight="1" x14ac:dyDescent="0.35"/>
    <row r="329" ht="14.25" customHeight="1" x14ac:dyDescent="0.35"/>
    <row r="330" ht="14.25" customHeight="1" x14ac:dyDescent="0.35"/>
    <row r="331" ht="14.25" customHeight="1" x14ac:dyDescent="0.35"/>
    <row r="332" ht="14.25" customHeight="1" x14ac:dyDescent="0.35"/>
    <row r="333" ht="14.25" customHeight="1" x14ac:dyDescent="0.35"/>
    <row r="334" ht="14.25" customHeight="1" x14ac:dyDescent="0.35"/>
    <row r="335" ht="14.25" customHeight="1" x14ac:dyDescent="0.35"/>
    <row r="336" ht="14.25" customHeight="1" x14ac:dyDescent="0.35"/>
    <row r="337" ht="14.25" customHeight="1" x14ac:dyDescent="0.35"/>
    <row r="338" ht="14.25" customHeight="1" x14ac:dyDescent="0.35"/>
    <row r="339" ht="14.25" customHeight="1" x14ac:dyDescent="0.35"/>
    <row r="340" ht="14.25" customHeight="1" x14ac:dyDescent="0.35"/>
    <row r="341" ht="14.25" customHeight="1" x14ac:dyDescent="0.35"/>
    <row r="342" ht="14.25" customHeight="1" x14ac:dyDescent="0.35"/>
    <row r="343" ht="14.25" customHeight="1" x14ac:dyDescent="0.35"/>
    <row r="344" ht="14.25" customHeight="1" x14ac:dyDescent="0.35"/>
    <row r="345" ht="14.25" customHeight="1" x14ac:dyDescent="0.35"/>
    <row r="346" ht="14.25" customHeight="1" x14ac:dyDescent="0.35"/>
    <row r="347" ht="14.25" customHeight="1" x14ac:dyDescent="0.35"/>
    <row r="348" ht="14.25" customHeight="1" x14ac:dyDescent="0.35"/>
    <row r="349" ht="14.25" customHeight="1" x14ac:dyDescent="0.35"/>
    <row r="350" ht="14.25" customHeight="1" x14ac:dyDescent="0.35"/>
    <row r="351" ht="14.25" customHeight="1" x14ac:dyDescent="0.35"/>
    <row r="352" ht="14.25" customHeight="1" x14ac:dyDescent="0.35"/>
    <row r="353" ht="14.25" customHeight="1" x14ac:dyDescent="0.35"/>
    <row r="354" ht="14.25" customHeight="1" x14ac:dyDescent="0.35"/>
    <row r="355" ht="14.25" customHeight="1" x14ac:dyDescent="0.35"/>
    <row r="356" ht="14.25" customHeight="1" x14ac:dyDescent="0.35"/>
    <row r="357" ht="14.25" customHeight="1" x14ac:dyDescent="0.35"/>
    <row r="358" ht="14.25" customHeight="1" x14ac:dyDescent="0.35"/>
    <row r="359" ht="14.25" customHeight="1" x14ac:dyDescent="0.35"/>
    <row r="360" ht="14.25" customHeight="1" x14ac:dyDescent="0.35"/>
    <row r="361" ht="14.25" customHeight="1" x14ac:dyDescent="0.35"/>
    <row r="362" ht="14.25" customHeight="1" x14ac:dyDescent="0.35"/>
    <row r="363" ht="14.25" customHeight="1" x14ac:dyDescent="0.35"/>
    <row r="364" ht="14.25" customHeight="1" x14ac:dyDescent="0.35"/>
    <row r="365" ht="14.25" customHeight="1" x14ac:dyDescent="0.35"/>
    <row r="366" ht="14.25" customHeight="1" x14ac:dyDescent="0.35"/>
    <row r="367" ht="14.25" customHeight="1" x14ac:dyDescent="0.35"/>
    <row r="368" ht="14.25" customHeight="1" x14ac:dyDescent="0.35"/>
    <row r="369" ht="14.25" customHeight="1" x14ac:dyDescent="0.35"/>
    <row r="370" ht="14.25" customHeight="1" x14ac:dyDescent="0.35"/>
    <row r="371" ht="14.25" customHeight="1" x14ac:dyDescent="0.35"/>
    <row r="372" ht="14.25" customHeight="1" x14ac:dyDescent="0.35"/>
    <row r="373" ht="14.25" customHeight="1" x14ac:dyDescent="0.35"/>
    <row r="374" ht="14.25" customHeight="1" x14ac:dyDescent="0.35"/>
    <row r="375" ht="14.25" customHeight="1" x14ac:dyDescent="0.35"/>
    <row r="376" ht="14.25" customHeight="1" x14ac:dyDescent="0.35"/>
    <row r="377" ht="14.25" customHeight="1" x14ac:dyDescent="0.35"/>
    <row r="378" ht="14.25" customHeight="1" x14ac:dyDescent="0.35"/>
    <row r="379" ht="14.25" customHeight="1" x14ac:dyDescent="0.35"/>
    <row r="380" ht="14.25" customHeight="1" x14ac:dyDescent="0.35"/>
    <row r="381" ht="14.25" customHeight="1" x14ac:dyDescent="0.35"/>
    <row r="382" ht="14.25" customHeight="1" x14ac:dyDescent="0.35"/>
    <row r="383" ht="14.25" customHeight="1" x14ac:dyDescent="0.35"/>
    <row r="384" ht="14.25" customHeight="1" x14ac:dyDescent="0.35"/>
    <row r="385" ht="14.25" customHeight="1" x14ac:dyDescent="0.35"/>
    <row r="386" ht="14.25" customHeight="1" x14ac:dyDescent="0.35"/>
    <row r="387" ht="14.25" customHeight="1" x14ac:dyDescent="0.35"/>
    <row r="388" ht="14.25" customHeight="1" x14ac:dyDescent="0.35"/>
    <row r="389" ht="14.25" customHeight="1" x14ac:dyDescent="0.35"/>
    <row r="390" ht="14.25" customHeight="1" x14ac:dyDescent="0.35"/>
    <row r="391" ht="14.25" customHeight="1" x14ac:dyDescent="0.35"/>
    <row r="392" ht="14.25" customHeight="1" x14ac:dyDescent="0.35"/>
    <row r="393" ht="14.25" customHeight="1" x14ac:dyDescent="0.35"/>
    <row r="394" ht="14.25" customHeight="1" x14ac:dyDescent="0.35"/>
    <row r="395" ht="14.25" customHeight="1" x14ac:dyDescent="0.35"/>
    <row r="396" ht="14.25" customHeight="1" x14ac:dyDescent="0.35"/>
    <row r="397" ht="14.25" customHeight="1" x14ac:dyDescent="0.35"/>
    <row r="398" ht="14.25" customHeight="1" x14ac:dyDescent="0.35"/>
    <row r="399" ht="14.25" customHeight="1" x14ac:dyDescent="0.35"/>
    <row r="400" ht="14.25" customHeight="1" x14ac:dyDescent="0.35"/>
    <row r="401" ht="14.25" customHeight="1" x14ac:dyDescent="0.35"/>
    <row r="402" ht="14.25" customHeight="1" x14ac:dyDescent="0.35"/>
    <row r="403" ht="14.25" customHeight="1" x14ac:dyDescent="0.35"/>
    <row r="404" ht="14.25" customHeight="1" x14ac:dyDescent="0.35"/>
    <row r="405" ht="14.25" customHeight="1" x14ac:dyDescent="0.35"/>
    <row r="406" ht="14.25" customHeight="1" x14ac:dyDescent="0.35"/>
    <row r="407" ht="14.25" customHeight="1" x14ac:dyDescent="0.35"/>
    <row r="408" ht="14.25" customHeight="1" x14ac:dyDescent="0.35"/>
    <row r="409" ht="14.25" customHeight="1" x14ac:dyDescent="0.35"/>
    <row r="410" ht="14.25" customHeight="1" x14ac:dyDescent="0.35"/>
    <row r="411" ht="14.25" customHeight="1" x14ac:dyDescent="0.35"/>
    <row r="412" ht="14.25" customHeight="1" x14ac:dyDescent="0.35"/>
    <row r="413" ht="14.25" customHeight="1" x14ac:dyDescent="0.35"/>
    <row r="414" ht="14.25" customHeight="1" x14ac:dyDescent="0.35"/>
    <row r="415" ht="14.25" customHeight="1" x14ac:dyDescent="0.35"/>
    <row r="416" ht="14.25" customHeight="1" x14ac:dyDescent="0.35"/>
    <row r="417" ht="14.25" customHeight="1" x14ac:dyDescent="0.35"/>
    <row r="418" ht="14.25" customHeight="1" x14ac:dyDescent="0.35"/>
    <row r="419" ht="14.25" customHeight="1" x14ac:dyDescent="0.35"/>
    <row r="420" ht="14.25" customHeight="1" x14ac:dyDescent="0.35"/>
    <row r="421" ht="14.25" customHeight="1" x14ac:dyDescent="0.35"/>
    <row r="422" ht="14.25" customHeight="1" x14ac:dyDescent="0.35"/>
    <row r="423" ht="14.25" customHeight="1" x14ac:dyDescent="0.35"/>
    <row r="424" ht="14.25" customHeight="1" x14ac:dyDescent="0.35"/>
    <row r="425" ht="14.25" customHeight="1" x14ac:dyDescent="0.35"/>
    <row r="426" ht="14.25" customHeight="1" x14ac:dyDescent="0.35"/>
    <row r="427" ht="14.25" customHeight="1" x14ac:dyDescent="0.35"/>
    <row r="428" ht="14.25" customHeight="1" x14ac:dyDescent="0.35"/>
    <row r="429" ht="14.25" customHeight="1" x14ac:dyDescent="0.35"/>
    <row r="430" ht="14.25" customHeight="1" x14ac:dyDescent="0.35"/>
    <row r="431" ht="14.25" customHeight="1" x14ac:dyDescent="0.35"/>
    <row r="432" ht="14.25" customHeight="1" x14ac:dyDescent="0.35"/>
    <row r="433" ht="14.25" customHeight="1" x14ac:dyDescent="0.35"/>
    <row r="434" ht="14.25" customHeight="1" x14ac:dyDescent="0.35"/>
    <row r="435" ht="14.25" customHeight="1" x14ac:dyDescent="0.35"/>
    <row r="436" ht="14.25" customHeight="1" x14ac:dyDescent="0.35"/>
    <row r="437" ht="14.25" customHeight="1" x14ac:dyDescent="0.35"/>
    <row r="438" ht="14.25" customHeight="1" x14ac:dyDescent="0.35"/>
    <row r="439" ht="14.25" customHeight="1" x14ac:dyDescent="0.35"/>
    <row r="440" ht="14.25" customHeight="1" x14ac:dyDescent="0.35"/>
    <row r="441" ht="14.25" customHeight="1" x14ac:dyDescent="0.35"/>
    <row r="442" ht="14.25" customHeight="1" x14ac:dyDescent="0.35"/>
    <row r="443" ht="14.25" customHeight="1" x14ac:dyDescent="0.35"/>
    <row r="444" ht="14.25" customHeight="1" x14ac:dyDescent="0.35"/>
    <row r="445" ht="14.25" customHeight="1" x14ac:dyDescent="0.35"/>
    <row r="446" ht="14.25" customHeight="1" x14ac:dyDescent="0.35"/>
    <row r="447" ht="14.25" customHeight="1" x14ac:dyDescent="0.35"/>
    <row r="448" ht="14.25" customHeight="1" x14ac:dyDescent="0.35"/>
    <row r="449" ht="14.25" customHeight="1" x14ac:dyDescent="0.35"/>
    <row r="450" ht="14.25" customHeight="1" x14ac:dyDescent="0.35"/>
    <row r="451" ht="14.25" customHeight="1" x14ac:dyDescent="0.35"/>
    <row r="452" ht="14.25" customHeight="1" x14ac:dyDescent="0.35"/>
    <row r="453" ht="14.25" customHeight="1" x14ac:dyDescent="0.35"/>
    <row r="454" ht="14.25" customHeight="1" x14ac:dyDescent="0.35"/>
    <row r="455" ht="14.25" customHeight="1" x14ac:dyDescent="0.35"/>
    <row r="456" ht="14.25" customHeight="1" x14ac:dyDescent="0.35"/>
    <row r="457" ht="14.25" customHeight="1" x14ac:dyDescent="0.35"/>
    <row r="458" ht="14.25" customHeight="1" x14ac:dyDescent="0.35"/>
    <row r="459" ht="14.25" customHeight="1" x14ac:dyDescent="0.35"/>
    <row r="460" ht="14.25" customHeight="1" x14ac:dyDescent="0.35"/>
    <row r="461" ht="14.25" customHeight="1" x14ac:dyDescent="0.35"/>
    <row r="462" ht="14.25" customHeight="1" x14ac:dyDescent="0.35"/>
    <row r="463" ht="14.25" customHeight="1" x14ac:dyDescent="0.35"/>
    <row r="464" ht="14.25" customHeight="1" x14ac:dyDescent="0.35"/>
    <row r="465" ht="14.25" customHeight="1" x14ac:dyDescent="0.35"/>
    <row r="466" ht="14.25" customHeight="1" x14ac:dyDescent="0.35"/>
    <row r="467" ht="14.25" customHeight="1" x14ac:dyDescent="0.35"/>
    <row r="468" ht="14.25" customHeight="1" x14ac:dyDescent="0.35"/>
    <row r="469" ht="14.25" customHeight="1" x14ac:dyDescent="0.35"/>
    <row r="470" ht="14.25" customHeight="1" x14ac:dyDescent="0.35"/>
    <row r="471" ht="14.25" customHeight="1" x14ac:dyDescent="0.35"/>
    <row r="472" ht="14.25" customHeight="1" x14ac:dyDescent="0.35"/>
    <row r="473" ht="14.25" customHeight="1" x14ac:dyDescent="0.35"/>
    <row r="474" ht="14.25" customHeight="1" x14ac:dyDescent="0.35"/>
    <row r="475" ht="14.25" customHeight="1" x14ac:dyDescent="0.35"/>
    <row r="476" ht="14.25" customHeight="1" x14ac:dyDescent="0.35"/>
    <row r="477" ht="14.25" customHeight="1" x14ac:dyDescent="0.35"/>
    <row r="478" ht="14.25" customHeight="1" x14ac:dyDescent="0.35"/>
    <row r="479" ht="14.25" customHeight="1" x14ac:dyDescent="0.35"/>
    <row r="480" ht="14.25" customHeight="1" x14ac:dyDescent="0.35"/>
    <row r="481" ht="14.25" customHeight="1" x14ac:dyDescent="0.35"/>
    <row r="482" ht="14.25" customHeight="1" x14ac:dyDescent="0.35"/>
    <row r="483" ht="14.25" customHeight="1" x14ac:dyDescent="0.35"/>
    <row r="484" ht="14.25" customHeight="1" x14ac:dyDescent="0.35"/>
    <row r="485" ht="14.25" customHeight="1" x14ac:dyDescent="0.35"/>
    <row r="486" ht="14.25" customHeight="1" x14ac:dyDescent="0.35"/>
    <row r="487" ht="14.25" customHeight="1" x14ac:dyDescent="0.35"/>
    <row r="488" ht="14.25" customHeight="1" x14ac:dyDescent="0.35"/>
    <row r="489" ht="14.25" customHeight="1" x14ac:dyDescent="0.35"/>
    <row r="490" ht="14.25" customHeight="1" x14ac:dyDescent="0.35"/>
    <row r="491" ht="14.25" customHeight="1" x14ac:dyDescent="0.35"/>
    <row r="492" ht="14.25" customHeight="1" x14ac:dyDescent="0.35"/>
    <row r="493" ht="14.25" customHeight="1" x14ac:dyDescent="0.35"/>
    <row r="494" ht="14.25" customHeight="1" x14ac:dyDescent="0.35"/>
    <row r="495" ht="14.25" customHeight="1" x14ac:dyDescent="0.35"/>
    <row r="496" ht="14.25" customHeight="1" x14ac:dyDescent="0.35"/>
    <row r="497" ht="14.25" customHeight="1" x14ac:dyDescent="0.35"/>
    <row r="498" ht="14.25" customHeight="1" x14ac:dyDescent="0.35"/>
    <row r="499" ht="14.25" customHeight="1" x14ac:dyDescent="0.35"/>
    <row r="500" ht="14.25" customHeight="1" x14ac:dyDescent="0.35"/>
    <row r="501" ht="14.25" customHeight="1" x14ac:dyDescent="0.35"/>
    <row r="502" ht="14.25" customHeight="1" x14ac:dyDescent="0.35"/>
    <row r="503" ht="14.25" customHeight="1" x14ac:dyDescent="0.35"/>
    <row r="504" ht="14.25" customHeight="1" x14ac:dyDescent="0.35"/>
    <row r="505" ht="14.25" customHeight="1" x14ac:dyDescent="0.35"/>
    <row r="506" ht="14.25" customHeight="1" x14ac:dyDescent="0.35"/>
    <row r="507" ht="14.25" customHeight="1" x14ac:dyDescent="0.35"/>
    <row r="508" ht="14.25" customHeight="1" x14ac:dyDescent="0.35"/>
    <row r="509" ht="14.25" customHeight="1" x14ac:dyDescent="0.35"/>
    <row r="510" ht="14.25" customHeight="1" x14ac:dyDescent="0.35"/>
    <row r="511" ht="14.25" customHeight="1" x14ac:dyDescent="0.35"/>
    <row r="512" ht="14.25" customHeight="1" x14ac:dyDescent="0.35"/>
    <row r="513" ht="14.25" customHeight="1" x14ac:dyDescent="0.35"/>
    <row r="514" ht="14.25" customHeight="1" x14ac:dyDescent="0.35"/>
    <row r="515" ht="14.25" customHeight="1" x14ac:dyDescent="0.35"/>
    <row r="516" ht="14.25" customHeight="1" x14ac:dyDescent="0.35"/>
    <row r="517" ht="14.25" customHeight="1" x14ac:dyDescent="0.35"/>
    <row r="518" ht="14.25" customHeight="1" x14ac:dyDescent="0.35"/>
    <row r="519" ht="14.25" customHeight="1" x14ac:dyDescent="0.35"/>
    <row r="520" ht="14.25" customHeight="1" x14ac:dyDescent="0.35"/>
    <row r="521" ht="14.25" customHeight="1" x14ac:dyDescent="0.35"/>
    <row r="522" ht="14.25" customHeight="1" x14ac:dyDescent="0.35"/>
    <row r="523" ht="14.25" customHeight="1" x14ac:dyDescent="0.35"/>
    <row r="524" ht="14.25" customHeight="1" x14ac:dyDescent="0.35"/>
    <row r="525" ht="14.25" customHeight="1" x14ac:dyDescent="0.35"/>
    <row r="526" ht="14.25" customHeight="1" x14ac:dyDescent="0.35"/>
    <row r="527" ht="14.25" customHeight="1" x14ac:dyDescent="0.35"/>
    <row r="528" ht="14.25" customHeight="1" x14ac:dyDescent="0.35"/>
    <row r="529" ht="14.25" customHeight="1" x14ac:dyDescent="0.35"/>
    <row r="530" ht="14.25" customHeight="1" x14ac:dyDescent="0.35"/>
    <row r="531" ht="14.25" customHeight="1" x14ac:dyDescent="0.35"/>
    <row r="532" ht="14.25" customHeight="1" x14ac:dyDescent="0.35"/>
    <row r="533" ht="14.25" customHeight="1" x14ac:dyDescent="0.35"/>
    <row r="534" ht="14.25" customHeight="1" x14ac:dyDescent="0.35"/>
    <row r="535" ht="14.25" customHeight="1" x14ac:dyDescent="0.35"/>
    <row r="536" ht="14.25" customHeight="1" x14ac:dyDescent="0.35"/>
    <row r="537" ht="14.25" customHeight="1" x14ac:dyDescent="0.35"/>
    <row r="538" ht="14.25" customHeight="1" x14ac:dyDescent="0.35"/>
    <row r="539" ht="14.25" customHeight="1" x14ac:dyDescent="0.35"/>
    <row r="540" ht="14.25" customHeight="1" x14ac:dyDescent="0.35"/>
    <row r="541" ht="14.25" customHeight="1" x14ac:dyDescent="0.35"/>
    <row r="542" ht="14.25" customHeight="1" x14ac:dyDescent="0.35"/>
    <row r="543" ht="14.25" customHeight="1" x14ac:dyDescent="0.35"/>
    <row r="544" ht="14.25" customHeight="1" x14ac:dyDescent="0.35"/>
    <row r="545" ht="14.25" customHeight="1" x14ac:dyDescent="0.35"/>
    <row r="546" ht="14.25" customHeight="1" x14ac:dyDescent="0.35"/>
    <row r="547" ht="14.25" customHeight="1" x14ac:dyDescent="0.35"/>
    <row r="548" ht="14.25" customHeight="1" x14ac:dyDescent="0.35"/>
    <row r="549" ht="14.25" customHeight="1" x14ac:dyDescent="0.35"/>
    <row r="550" ht="14.25" customHeight="1" x14ac:dyDescent="0.35"/>
    <row r="551" ht="14.25" customHeight="1" x14ac:dyDescent="0.35"/>
    <row r="552" ht="14.25" customHeight="1" x14ac:dyDescent="0.35"/>
    <row r="553" ht="14.25" customHeight="1" x14ac:dyDescent="0.35"/>
    <row r="554" ht="14.25" customHeight="1" x14ac:dyDescent="0.35"/>
    <row r="555" ht="14.25" customHeight="1" x14ac:dyDescent="0.35"/>
    <row r="556" ht="14.25" customHeight="1" x14ac:dyDescent="0.35"/>
    <row r="557" ht="14.25" customHeight="1" x14ac:dyDescent="0.35"/>
    <row r="558" ht="14.25" customHeight="1" x14ac:dyDescent="0.35"/>
    <row r="559" ht="14.25" customHeight="1" x14ac:dyDescent="0.35"/>
    <row r="560" ht="14.25" customHeight="1" x14ac:dyDescent="0.35"/>
    <row r="561" ht="14.25" customHeight="1" x14ac:dyDescent="0.35"/>
    <row r="562" ht="14.25" customHeight="1" x14ac:dyDescent="0.35"/>
    <row r="563" ht="14.25" customHeight="1" x14ac:dyDescent="0.35"/>
    <row r="564" ht="14.25" customHeight="1" x14ac:dyDescent="0.35"/>
    <row r="565" ht="14.25" customHeight="1" x14ac:dyDescent="0.35"/>
    <row r="566" ht="14.25" customHeight="1" x14ac:dyDescent="0.35"/>
    <row r="567" ht="14.25" customHeight="1" x14ac:dyDescent="0.35"/>
    <row r="568" ht="14.25" customHeight="1" x14ac:dyDescent="0.35"/>
    <row r="569" ht="14.25" customHeight="1" x14ac:dyDescent="0.35"/>
    <row r="570" ht="14.25" customHeight="1" x14ac:dyDescent="0.35"/>
    <row r="571" ht="14.25" customHeight="1" x14ac:dyDescent="0.35"/>
    <row r="572" ht="14.25" customHeight="1" x14ac:dyDescent="0.35"/>
    <row r="573" ht="14.25" customHeight="1" x14ac:dyDescent="0.35"/>
    <row r="574" ht="14.25" customHeight="1" x14ac:dyDescent="0.35"/>
    <row r="575" ht="14.25" customHeight="1" x14ac:dyDescent="0.35"/>
    <row r="576" ht="14.25" customHeight="1" x14ac:dyDescent="0.35"/>
    <row r="577" ht="14.25" customHeight="1" x14ac:dyDescent="0.35"/>
    <row r="578" ht="14.25" customHeight="1" x14ac:dyDescent="0.35"/>
    <row r="579" ht="14.25" customHeight="1" x14ac:dyDescent="0.35"/>
    <row r="580" ht="14.25" customHeight="1" x14ac:dyDescent="0.35"/>
    <row r="581" ht="14.25" customHeight="1" x14ac:dyDescent="0.35"/>
    <row r="582" ht="14.25" customHeight="1" x14ac:dyDescent="0.35"/>
    <row r="583" ht="14.25" customHeight="1" x14ac:dyDescent="0.35"/>
    <row r="584" ht="14.25" customHeight="1" x14ac:dyDescent="0.35"/>
    <row r="585" ht="14.25" customHeight="1" x14ac:dyDescent="0.35"/>
    <row r="586" ht="14.25" customHeight="1" x14ac:dyDescent="0.35"/>
    <row r="587" ht="14.25" customHeight="1" x14ac:dyDescent="0.35"/>
    <row r="588" ht="14.25" customHeight="1" x14ac:dyDescent="0.35"/>
    <row r="589" ht="14.25" customHeight="1" x14ac:dyDescent="0.35"/>
    <row r="590" ht="14.25" customHeight="1" x14ac:dyDescent="0.35"/>
    <row r="591" ht="14.25" customHeight="1" x14ac:dyDescent="0.35"/>
    <row r="592" ht="14.25" customHeight="1" x14ac:dyDescent="0.35"/>
    <row r="593" ht="14.25" customHeight="1" x14ac:dyDescent="0.35"/>
    <row r="594" ht="14.25" customHeight="1" x14ac:dyDescent="0.35"/>
    <row r="595" ht="14.25" customHeight="1" x14ac:dyDescent="0.35"/>
    <row r="596" ht="14.25" customHeight="1" x14ac:dyDescent="0.35"/>
    <row r="597" ht="14.25" customHeight="1" x14ac:dyDescent="0.35"/>
    <row r="598" ht="14.25" customHeight="1" x14ac:dyDescent="0.35"/>
    <row r="599" ht="14.25" customHeight="1" x14ac:dyDescent="0.35"/>
    <row r="600" ht="14.25" customHeight="1" x14ac:dyDescent="0.35"/>
    <row r="601" ht="14.25" customHeight="1" x14ac:dyDescent="0.35"/>
    <row r="602" ht="14.25" customHeight="1" x14ac:dyDescent="0.35"/>
    <row r="603" ht="14.25" customHeight="1" x14ac:dyDescent="0.35"/>
    <row r="604" ht="14.25" customHeight="1" x14ac:dyDescent="0.35"/>
    <row r="605" ht="14.25" customHeight="1" x14ac:dyDescent="0.35"/>
    <row r="606" ht="14.25" customHeight="1" x14ac:dyDescent="0.35"/>
    <row r="607" ht="14.25" customHeight="1" x14ac:dyDescent="0.35"/>
    <row r="608" ht="14.25" customHeight="1" x14ac:dyDescent="0.35"/>
    <row r="609" ht="14.25" customHeight="1" x14ac:dyDescent="0.35"/>
    <row r="610" ht="14.25" customHeight="1" x14ac:dyDescent="0.35"/>
    <row r="611" ht="14.25" customHeight="1" x14ac:dyDescent="0.35"/>
    <row r="612" ht="14.25" customHeight="1" x14ac:dyDescent="0.35"/>
    <row r="613" ht="14.25" customHeight="1" x14ac:dyDescent="0.35"/>
    <row r="614" ht="14.25" customHeight="1" x14ac:dyDescent="0.35"/>
    <row r="615" ht="14.25" customHeight="1" x14ac:dyDescent="0.35"/>
    <row r="616" ht="14.25" customHeight="1" x14ac:dyDescent="0.35"/>
    <row r="617" ht="14.25" customHeight="1" x14ac:dyDescent="0.35"/>
    <row r="618" ht="14.25" customHeight="1" x14ac:dyDescent="0.35"/>
    <row r="619" ht="14.25" customHeight="1" x14ac:dyDescent="0.35"/>
    <row r="620" ht="14.25" customHeight="1" x14ac:dyDescent="0.35"/>
    <row r="621" ht="14.25" customHeight="1" x14ac:dyDescent="0.35"/>
    <row r="622" ht="14.25" customHeight="1" x14ac:dyDescent="0.35"/>
    <row r="623" ht="14.25" customHeight="1" x14ac:dyDescent="0.35"/>
    <row r="624" ht="14.25" customHeight="1" x14ac:dyDescent="0.35"/>
    <row r="625" ht="14.25" customHeight="1" x14ac:dyDescent="0.35"/>
    <row r="626" ht="14.25" customHeight="1" x14ac:dyDescent="0.35"/>
    <row r="627" ht="14.25" customHeight="1" x14ac:dyDescent="0.35"/>
    <row r="628" ht="14.25" customHeight="1" x14ac:dyDescent="0.35"/>
    <row r="629" ht="14.25" customHeight="1" x14ac:dyDescent="0.35"/>
    <row r="630" ht="14.25" customHeight="1" x14ac:dyDescent="0.35"/>
    <row r="631" ht="14.25" customHeight="1" x14ac:dyDescent="0.35"/>
    <row r="632" ht="14.25" customHeight="1" x14ac:dyDescent="0.35"/>
    <row r="633" ht="14.25" customHeight="1" x14ac:dyDescent="0.35"/>
    <row r="634" ht="14.25" customHeight="1" x14ac:dyDescent="0.35"/>
    <row r="635" ht="14.25" customHeight="1" x14ac:dyDescent="0.35"/>
    <row r="636" ht="14.25" customHeight="1" x14ac:dyDescent="0.35"/>
    <row r="637" ht="14.25" customHeight="1" x14ac:dyDescent="0.35"/>
    <row r="638" ht="14.25" customHeight="1" x14ac:dyDescent="0.35"/>
    <row r="639" ht="14.25" customHeight="1" x14ac:dyDescent="0.35"/>
    <row r="640" ht="14.25" customHeight="1" x14ac:dyDescent="0.35"/>
    <row r="641" ht="14.25" customHeight="1" x14ac:dyDescent="0.35"/>
    <row r="642" ht="14.25" customHeight="1" x14ac:dyDescent="0.35"/>
    <row r="643" ht="14.25" customHeight="1" x14ac:dyDescent="0.35"/>
    <row r="644" ht="14.25" customHeight="1" x14ac:dyDescent="0.35"/>
    <row r="645" ht="14.25" customHeight="1" x14ac:dyDescent="0.35"/>
    <row r="646" ht="14.25" customHeight="1" x14ac:dyDescent="0.35"/>
    <row r="647" ht="14.25" customHeight="1" x14ac:dyDescent="0.35"/>
    <row r="648" ht="14.25" customHeight="1" x14ac:dyDescent="0.35"/>
    <row r="649" ht="14.25" customHeight="1" x14ac:dyDescent="0.35"/>
    <row r="650" ht="14.25" customHeight="1" x14ac:dyDescent="0.35"/>
    <row r="651" ht="14.25" customHeight="1" x14ac:dyDescent="0.35"/>
    <row r="652" ht="14.25" customHeight="1" x14ac:dyDescent="0.35"/>
    <row r="653" ht="14.25" customHeight="1" x14ac:dyDescent="0.35"/>
    <row r="654" ht="14.25" customHeight="1" x14ac:dyDescent="0.35"/>
    <row r="655" ht="14.25" customHeight="1" x14ac:dyDescent="0.35"/>
    <row r="656" ht="14.25" customHeight="1" x14ac:dyDescent="0.35"/>
    <row r="657" ht="14.25" customHeight="1" x14ac:dyDescent="0.35"/>
    <row r="658" ht="14.25" customHeight="1" x14ac:dyDescent="0.35"/>
    <row r="659" ht="14.25" customHeight="1" x14ac:dyDescent="0.35"/>
    <row r="660" ht="14.25" customHeight="1" x14ac:dyDescent="0.35"/>
    <row r="661" ht="14.25" customHeight="1" x14ac:dyDescent="0.35"/>
    <row r="662" ht="14.25" customHeight="1" x14ac:dyDescent="0.35"/>
    <row r="663" ht="14.25" customHeight="1" x14ac:dyDescent="0.35"/>
    <row r="664" ht="14.25" customHeight="1" x14ac:dyDescent="0.35"/>
    <row r="665" ht="14.25" customHeight="1" x14ac:dyDescent="0.35"/>
    <row r="666" ht="14.25" customHeight="1" x14ac:dyDescent="0.35"/>
    <row r="667" ht="14.25" customHeight="1" x14ac:dyDescent="0.35"/>
    <row r="668" ht="14.25" customHeight="1" x14ac:dyDescent="0.35"/>
    <row r="669" ht="14.25" customHeight="1" x14ac:dyDescent="0.35"/>
    <row r="670" ht="14.25" customHeight="1" x14ac:dyDescent="0.35"/>
    <row r="671" ht="14.25" customHeight="1" x14ac:dyDescent="0.35"/>
    <row r="672" ht="14.25" customHeight="1" x14ac:dyDescent="0.35"/>
    <row r="673" ht="14.25" customHeight="1" x14ac:dyDescent="0.35"/>
    <row r="674" ht="14.25" customHeight="1" x14ac:dyDescent="0.35"/>
    <row r="675" ht="14.25" customHeight="1" x14ac:dyDescent="0.35"/>
    <row r="676" ht="14.25" customHeight="1" x14ac:dyDescent="0.35"/>
    <row r="677" ht="14.25" customHeight="1" x14ac:dyDescent="0.35"/>
    <row r="678" ht="14.25" customHeight="1" x14ac:dyDescent="0.35"/>
    <row r="679" ht="14.25" customHeight="1" x14ac:dyDescent="0.35"/>
    <row r="680" ht="14.25" customHeight="1" x14ac:dyDescent="0.35"/>
    <row r="681" ht="14.25" customHeight="1" x14ac:dyDescent="0.35"/>
    <row r="682" ht="14.25" customHeight="1" x14ac:dyDescent="0.35"/>
    <row r="683" ht="14.25" customHeight="1" x14ac:dyDescent="0.35"/>
    <row r="684" ht="14.25" customHeight="1" x14ac:dyDescent="0.35"/>
    <row r="685" ht="14.25" customHeight="1" x14ac:dyDescent="0.35"/>
    <row r="686" ht="14.25" customHeight="1" x14ac:dyDescent="0.35"/>
    <row r="687" ht="14.25" customHeight="1" x14ac:dyDescent="0.35"/>
    <row r="688" ht="14.25" customHeight="1" x14ac:dyDescent="0.35"/>
    <row r="689" ht="14.25" customHeight="1" x14ac:dyDescent="0.35"/>
    <row r="690" ht="14.25" customHeight="1" x14ac:dyDescent="0.35"/>
    <row r="691" ht="14.25" customHeight="1" x14ac:dyDescent="0.35"/>
    <row r="692" ht="14.25" customHeight="1" x14ac:dyDescent="0.35"/>
    <row r="693" ht="14.25" customHeight="1" x14ac:dyDescent="0.35"/>
    <row r="694" ht="14.25" customHeight="1" x14ac:dyDescent="0.35"/>
    <row r="695" ht="14.25" customHeight="1" x14ac:dyDescent="0.35"/>
    <row r="696" ht="14.25" customHeight="1" x14ac:dyDescent="0.35"/>
    <row r="697" ht="14.25" customHeight="1" x14ac:dyDescent="0.35"/>
    <row r="698" ht="14.25" customHeight="1" x14ac:dyDescent="0.35"/>
    <row r="699" ht="14.25" customHeight="1" x14ac:dyDescent="0.35"/>
    <row r="700" ht="14.25" customHeight="1" x14ac:dyDescent="0.35"/>
    <row r="701" ht="14.25" customHeight="1" x14ac:dyDescent="0.35"/>
    <row r="702" ht="14.25" customHeight="1" x14ac:dyDescent="0.35"/>
    <row r="703" ht="14.25" customHeight="1" x14ac:dyDescent="0.35"/>
    <row r="704" ht="14.25" customHeight="1" x14ac:dyDescent="0.35"/>
    <row r="705" ht="14.25" customHeight="1" x14ac:dyDescent="0.35"/>
    <row r="706" ht="14.25" customHeight="1" x14ac:dyDescent="0.35"/>
    <row r="707" ht="14.25" customHeight="1" x14ac:dyDescent="0.35"/>
    <row r="708" ht="14.25" customHeight="1" x14ac:dyDescent="0.35"/>
    <row r="709" ht="14.25" customHeight="1" x14ac:dyDescent="0.35"/>
    <row r="710" ht="14.25" customHeight="1" x14ac:dyDescent="0.35"/>
    <row r="711" ht="14.25" customHeight="1" x14ac:dyDescent="0.35"/>
    <row r="712" ht="14.25" customHeight="1" x14ac:dyDescent="0.35"/>
    <row r="713" ht="14.25" customHeight="1" x14ac:dyDescent="0.35"/>
    <row r="714" ht="14.25" customHeight="1" x14ac:dyDescent="0.35"/>
    <row r="715" ht="14.25" customHeight="1" x14ac:dyDescent="0.35"/>
    <row r="716" ht="14.25" customHeight="1" x14ac:dyDescent="0.35"/>
    <row r="717" ht="14.25" customHeight="1" x14ac:dyDescent="0.35"/>
    <row r="718" ht="14.25" customHeight="1" x14ac:dyDescent="0.35"/>
    <row r="719" ht="14.25" customHeight="1" x14ac:dyDescent="0.35"/>
    <row r="720" ht="14.25" customHeight="1" x14ac:dyDescent="0.35"/>
    <row r="721" ht="14.25" customHeight="1" x14ac:dyDescent="0.35"/>
    <row r="722" ht="14.25" customHeight="1" x14ac:dyDescent="0.35"/>
    <row r="723" ht="14.25" customHeight="1" x14ac:dyDescent="0.35"/>
    <row r="724" ht="14.25" customHeight="1" x14ac:dyDescent="0.35"/>
    <row r="725" ht="14.25" customHeight="1" x14ac:dyDescent="0.35"/>
    <row r="726" ht="14.25" customHeight="1" x14ac:dyDescent="0.35"/>
    <row r="727" ht="14.25" customHeight="1" x14ac:dyDescent="0.35"/>
    <row r="728" ht="14.25" customHeight="1" x14ac:dyDescent="0.35"/>
    <row r="729" ht="14.25" customHeight="1" x14ac:dyDescent="0.35"/>
    <row r="730" ht="14.25" customHeight="1" x14ac:dyDescent="0.35"/>
    <row r="731" ht="14.25" customHeight="1" x14ac:dyDescent="0.35"/>
    <row r="732" ht="14.25" customHeight="1" x14ac:dyDescent="0.35"/>
    <row r="733" ht="14.25" customHeight="1" x14ac:dyDescent="0.35"/>
    <row r="734" ht="14.25" customHeight="1" x14ac:dyDescent="0.35"/>
    <row r="735" ht="14.25" customHeight="1" x14ac:dyDescent="0.35"/>
    <row r="736" ht="14.25" customHeight="1" x14ac:dyDescent="0.35"/>
    <row r="737" ht="14.25" customHeight="1" x14ac:dyDescent="0.35"/>
    <row r="738" ht="14.25" customHeight="1" x14ac:dyDescent="0.35"/>
    <row r="739" ht="14.25" customHeight="1" x14ac:dyDescent="0.35"/>
    <row r="740" ht="14.25" customHeight="1" x14ac:dyDescent="0.35"/>
    <row r="741" ht="14.25" customHeight="1" x14ac:dyDescent="0.35"/>
    <row r="742" ht="14.25" customHeight="1" x14ac:dyDescent="0.35"/>
    <row r="743" ht="14.25" customHeight="1" x14ac:dyDescent="0.35"/>
    <row r="744" ht="14.25" customHeight="1" x14ac:dyDescent="0.35"/>
    <row r="745" ht="14.25" customHeight="1" x14ac:dyDescent="0.35"/>
    <row r="746" ht="14.25" customHeight="1" x14ac:dyDescent="0.35"/>
    <row r="747" ht="14.25" customHeight="1" x14ac:dyDescent="0.35"/>
    <row r="748" ht="14.25" customHeight="1" x14ac:dyDescent="0.35"/>
    <row r="749" ht="14.25" customHeight="1" x14ac:dyDescent="0.35"/>
    <row r="750" ht="14.25" customHeight="1" x14ac:dyDescent="0.35"/>
    <row r="751" ht="14.25" customHeight="1" x14ac:dyDescent="0.35"/>
    <row r="752" ht="14.25" customHeight="1" x14ac:dyDescent="0.35"/>
    <row r="753" ht="14.25" customHeight="1" x14ac:dyDescent="0.35"/>
    <row r="754" ht="14.25" customHeight="1" x14ac:dyDescent="0.35"/>
    <row r="755" ht="14.25" customHeight="1" x14ac:dyDescent="0.35"/>
    <row r="756" ht="14.25" customHeight="1" x14ac:dyDescent="0.35"/>
    <row r="757" ht="14.25" customHeight="1" x14ac:dyDescent="0.35"/>
    <row r="758" ht="14.25" customHeight="1" x14ac:dyDescent="0.35"/>
    <row r="759" ht="14.25" customHeight="1" x14ac:dyDescent="0.35"/>
    <row r="760" ht="14.25" customHeight="1" x14ac:dyDescent="0.35"/>
    <row r="761" ht="14.25" customHeight="1" x14ac:dyDescent="0.35"/>
    <row r="762" ht="14.25" customHeight="1" x14ac:dyDescent="0.35"/>
    <row r="763" ht="14.25" customHeight="1" x14ac:dyDescent="0.35"/>
    <row r="764" ht="14.25" customHeight="1" x14ac:dyDescent="0.35"/>
    <row r="765" ht="14.25" customHeight="1" x14ac:dyDescent="0.35"/>
    <row r="766" ht="14.25" customHeight="1" x14ac:dyDescent="0.35"/>
    <row r="767" ht="14.25" customHeight="1" x14ac:dyDescent="0.35"/>
    <row r="768" ht="14.25" customHeight="1" x14ac:dyDescent="0.35"/>
    <row r="769" ht="14.25" customHeight="1" x14ac:dyDescent="0.35"/>
    <row r="770" ht="14.25" customHeight="1" x14ac:dyDescent="0.35"/>
    <row r="771" ht="14.25" customHeight="1" x14ac:dyDescent="0.35"/>
    <row r="772" ht="14.25" customHeight="1" x14ac:dyDescent="0.35"/>
    <row r="773" ht="14.25" customHeight="1" x14ac:dyDescent="0.35"/>
    <row r="774" ht="14.25" customHeight="1" x14ac:dyDescent="0.35"/>
    <row r="775" ht="14.25" customHeight="1" x14ac:dyDescent="0.35"/>
    <row r="776" ht="14.25" customHeight="1" x14ac:dyDescent="0.35"/>
    <row r="777" ht="14.25" customHeight="1" x14ac:dyDescent="0.35"/>
    <row r="778" ht="14.25" customHeight="1" x14ac:dyDescent="0.35"/>
    <row r="779" ht="14.25" customHeight="1" x14ac:dyDescent="0.35"/>
    <row r="780" ht="14.25" customHeight="1" x14ac:dyDescent="0.35"/>
    <row r="781" ht="14.25" customHeight="1" x14ac:dyDescent="0.35"/>
    <row r="782" ht="14.25" customHeight="1" x14ac:dyDescent="0.35"/>
    <row r="783" ht="14.25" customHeight="1" x14ac:dyDescent="0.35"/>
    <row r="784" ht="14.25" customHeight="1" x14ac:dyDescent="0.35"/>
    <row r="785" ht="14.25" customHeight="1" x14ac:dyDescent="0.35"/>
    <row r="786" ht="14.25" customHeight="1" x14ac:dyDescent="0.35"/>
    <row r="787" ht="14.25" customHeight="1" x14ac:dyDescent="0.35"/>
    <row r="788" ht="14.25" customHeight="1" x14ac:dyDescent="0.35"/>
    <row r="789" ht="14.25" customHeight="1" x14ac:dyDescent="0.35"/>
    <row r="790" ht="14.25" customHeight="1" x14ac:dyDescent="0.35"/>
    <row r="791" ht="14.25" customHeight="1" x14ac:dyDescent="0.35"/>
    <row r="792" ht="14.25" customHeight="1" x14ac:dyDescent="0.35"/>
    <row r="793" ht="14.25" customHeight="1" x14ac:dyDescent="0.35"/>
    <row r="794" ht="14.25" customHeight="1" x14ac:dyDescent="0.35"/>
    <row r="795" ht="14.25" customHeight="1" x14ac:dyDescent="0.35"/>
    <row r="796" ht="14.25" customHeight="1" x14ac:dyDescent="0.35"/>
    <row r="797" ht="14.25" customHeight="1" x14ac:dyDescent="0.35"/>
    <row r="798" ht="14.25" customHeight="1" x14ac:dyDescent="0.35"/>
    <row r="799" ht="14.25" customHeight="1" x14ac:dyDescent="0.35"/>
    <row r="800" ht="14.25" customHeight="1" x14ac:dyDescent="0.35"/>
    <row r="801" ht="14.25" customHeight="1" x14ac:dyDescent="0.35"/>
    <row r="802" ht="14.25" customHeight="1" x14ac:dyDescent="0.35"/>
    <row r="803" ht="14.25" customHeight="1" x14ac:dyDescent="0.35"/>
    <row r="804" ht="14.25" customHeight="1" x14ac:dyDescent="0.35"/>
    <row r="805" ht="14.25" customHeight="1" x14ac:dyDescent="0.35"/>
    <row r="806" ht="14.25" customHeight="1" x14ac:dyDescent="0.35"/>
    <row r="807" ht="14.25" customHeight="1" x14ac:dyDescent="0.35"/>
    <row r="808" ht="14.25" customHeight="1" x14ac:dyDescent="0.35"/>
    <row r="809" ht="14.25" customHeight="1" x14ac:dyDescent="0.35"/>
    <row r="810" ht="14.25" customHeight="1" x14ac:dyDescent="0.35"/>
    <row r="811" ht="14.25" customHeight="1" x14ac:dyDescent="0.35"/>
    <row r="812" ht="14.25" customHeight="1" x14ac:dyDescent="0.35"/>
    <row r="813" ht="14.25" customHeight="1" x14ac:dyDescent="0.35"/>
    <row r="814" ht="14.25" customHeight="1" x14ac:dyDescent="0.35"/>
    <row r="815" ht="14.25" customHeight="1" x14ac:dyDescent="0.35"/>
    <row r="816" ht="14.25" customHeight="1" x14ac:dyDescent="0.35"/>
    <row r="817" ht="14.25" customHeight="1" x14ac:dyDescent="0.35"/>
    <row r="818" ht="14.25" customHeight="1" x14ac:dyDescent="0.35"/>
    <row r="819" ht="14.25" customHeight="1" x14ac:dyDescent="0.35"/>
    <row r="820" ht="14.25" customHeight="1" x14ac:dyDescent="0.35"/>
    <row r="821" ht="14.25" customHeight="1" x14ac:dyDescent="0.35"/>
    <row r="822" ht="14.25" customHeight="1" x14ac:dyDescent="0.35"/>
    <row r="823" ht="14.25" customHeight="1" x14ac:dyDescent="0.35"/>
    <row r="824" ht="14.25" customHeight="1" x14ac:dyDescent="0.35"/>
    <row r="825" ht="14.25" customHeight="1" x14ac:dyDescent="0.35"/>
    <row r="826" ht="14.25" customHeight="1" x14ac:dyDescent="0.35"/>
    <row r="827" ht="14.25" customHeight="1" x14ac:dyDescent="0.35"/>
    <row r="828" ht="14.25" customHeight="1" x14ac:dyDescent="0.35"/>
    <row r="829" ht="14.25" customHeight="1" x14ac:dyDescent="0.35"/>
    <row r="830" ht="14.25" customHeight="1" x14ac:dyDescent="0.35"/>
    <row r="831" ht="14.25" customHeight="1" x14ac:dyDescent="0.35"/>
    <row r="832" ht="14.25" customHeight="1" x14ac:dyDescent="0.35"/>
    <row r="833" ht="14.25" customHeight="1" x14ac:dyDescent="0.35"/>
    <row r="834" ht="14.25" customHeight="1" x14ac:dyDescent="0.35"/>
    <row r="835" ht="14.25" customHeight="1" x14ac:dyDescent="0.35"/>
    <row r="836" ht="14.25" customHeight="1" x14ac:dyDescent="0.35"/>
    <row r="837" ht="14.25" customHeight="1" x14ac:dyDescent="0.35"/>
    <row r="838" ht="14.25" customHeight="1" x14ac:dyDescent="0.35"/>
    <row r="839" ht="14.25" customHeight="1" x14ac:dyDescent="0.35"/>
    <row r="840" ht="14.25" customHeight="1" x14ac:dyDescent="0.35"/>
    <row r="841" ht="14.25" customHeight="1" x14ac:dyDescent="0.35"/>
    <row r="842" ht="14.25" customHeight="1" x14ac:dyDescent="0.35"/>
    <row r="843" ht="14.25" customHeight="1" x14ac:dyDescent="0.35"/>
    <row r="844" ht="14.25" customHeight="1" x14ac:dyDescent="0.35"/>
    <row r="845" ht="14.25" customHeight="1" x14ac:dyDescent="0.35"/>
    <row r="846" ht="14.25" customHeight="1" x14ac:dyDescent="0.35"/>
    <row r="847" ht="14.25" customHeight="1" x14ac:dyDescent="0.35"/>
    <row r="848" ht="14.25" customHeight="1" x14ac:dyDescent="0.35"/>
    <row r="849" ht="14.25" customHeight="1" x14ac:dyDescent="0.35"/>
    <row r="850" ht="14.25" customHeight="1" x14ac:dyDescent="0.35"/>
    <row r="851" ht="14.25" customHeight="1" x14ac:dyDescent="0.35"/>
    <row r="852" ht="14.25" customHeight="1" x14ac:dyDescent="0.35"/>
    <row r="853" ht="14.25" customHeight="1" x14ac:dyDescent="0.35"/>
    <row r="854" ht="14.25" customHeight="1" x14ac:dyDescent="0.35"/>
    <row r="855" ht="14.25" customHeight="1" x14ac:dyDescent="0.35"/>
    <row r="856" ht="14.25" customHeight="1" x14ac:dyDescent="0.35"/>
    <row r="857" ht="14.25" customHeight="1" x14ac:dyDescent="0.35"/>
    <row r="858" ht="14.25" customHeight="1" x14ac:dyDescent="0.35"/>
    <row r="859" ht="14.25" customHeight="1" x14ac:dyDescent="0.35"/>
    <row r="860" ht="14.25" customHeight="1" x14ac:dyDescent="0.35"/>
    <row r="861" ht="14.25" customHeight="1" x14ac:dyDescent="0.35"/>
    <row r="862" ht="14.25" customHeight="1" x14ac:dyDescent="0.35"/>
    <row r="863" ht="14.25" customHeight="1" x14ac:dyDescent="0.35"/>
    <row r="864" ht="14.25" customHeight="1" x14ac:dyDescent="0.35"/>
    <row r="865" ht="14.25" customHeight="1" x14ac:dyDescent="0.35"/>
    <row r="866" ht="14.25" customHeight="1" x14ac:dyDescent="0.35"/>
    <row r="867" ht="14.25" customHeight="1" x14ac:dyDescent="0.35"/>
    <row r="868" ht="14.25" customHeight="1" x14ac:dyDescent="0.35"/>
    <row r="869" ht="14.25" customHeight="1" x14ac:dyDescent="0.35"/>
    <row r="870" ht="14.25" customHeight="1" x14ac:dyDescent="0.35"/>
    <row r="871" ht="14.25" customHeight="1" x14ac:dyDescent="0.35"/>
    <row r="872" ht="14.25" customHeight="1" x14ac:dyDescent="0.35"/>
    <row r="873" ht="14.25" customHeight="1" x14ac:dyDescent="0.35"/>
    <row r="874" ht="14.25" customHeight="1" x14ac:dyDescent="0.35"/>
    <row r="875" ht="14.25" customHeight="1" x14ac:dyDescent="0.35"/>
    <row r="876" ht="14.25" customHeight="1" x14ac:dyDescent="0.35"/>
    <row r="877" ht="14.25" customHeight="1" x14ac:dyDescent="0.35"/>
    <row r="878" ht="14.25" customHeight="1" x14ac:dyDescent="0.35"/>
    <row r="879" ht="14.25" customHeight="1" x14ac:dyDescent="0.35"/>
    <row r="880" ht="14.25" customHeight="1" x14ac:dyDescent="0.35"/>
    <row r="881" ht="14.25" customHeight="1" x14ac:dyDescent="0.35"/>
    <row r="882" ht="14.25" customHeight="1" x14ac:dyDescent="0.35"/>
    <row r="883" ht="14.25" customHeight="1" x14ac:dyDescent="0.35"/>
    <row r="884" ht="14.25" customHeight="1" x14ac:dyDescent="0.35"/>
    <row r="885" ht="14.25" customHeight="1" x14ac:dyDescent="0.35"/>
    <row r="886" ht="14.25" customHeight="1" x14ac:dyDescent="0.35"/>
    <row r="887" ht="14.25" customHeight="1" x14ac:dyDescent="0.35"/>
    <row r="888" ht="14.25" customHeight="1" x14ac:dyDescent="0.35"/>
    <row r="889" ht="14.25" customHeight="1" x14ac:dyDescent="0.35"/>
    <row r="890" ht="14.25" customHeight="1" x14ac:dyDescent="0.35"/>
    <row r="891" ht="14.25" customHeight="1" x14ac:dyDescent="0.35"/>
    <row r="892" ht="14.25" customHeight="1" x14ac:dyDescent="0.35"/>
    <row r="893" ht="14.25" customHeight="1" x14ac:dyDescent="0.35"/>
    <row r="894" ht="14.25" customHeight="1" x14ac:dyDescent="0.35"/>
    <row r="895" ht="14.25" customHeight="1" x14ac:dyDescent="0.35"/>
    <row r="896" ht="14.25" customHeight="1" x14ac:dyDescent="0.35"/>
    <row r="897" ht="14.25" customHeight="1" x14ac:dyDescent="0.35"/>
    <row r="898" ht="14.25" customHeight="1" x14ac:dyDescent="0.35"/>
    <row r="899" ht="14.25" customHeight="1" x14ac:dyDescent="0.35"/>
    <row r="900" ht="14.25" customHeight="1" x14ac:dyDescent="0.35"/>
    <row r="901" ht="14.25" customHeight="1" x14ac:dyDescent="0.35"/>
    <row r="902" ht="14.25" customHeight="1" x14ac:dyDescent="0.35"/>
    <row r="903" ht="14.25" customHeight="1" x14ac:dyDescent="0.35"/>
    <row r="904" ht="14.25" customHeight="1" x14ac:dyDescent="0.35"/>
    <row r="905" ht="14.25" customHeight="1" x14ac:dyDescent="0.35"/>
    <row r="906" ht="14.25" customHeight="1" x14ac:dyDescent="0.35"/>
    <row r="907" ht="14.25" customHeight="1" x14ac:dyDescent="0.35"/>
    <row r="908" ht="14.25" customHeight="1" x14ac:dyDescent="0.35"/>
    <row r="909" ht="14.25" customHeight="1" x14ac:dyDescent="0.35"/>
    <row r="910" ht="14.25" customHeight="1" x14ac:dyDescent="0.35"/>
    <row r="911" ht="14.25" customHeight="1" x14ac:dyDescent="0.35"/>
    <row r="912" ht="14.25" customHeight="1" x14ac:dyDescent="0.35"/>
    <row r="913" ht="14.25" customHeight="1" x14ac:dyDescent="0.35"/>
    <row r="914" ht="14.25" customHeight="1" x14ac:dyDescent="0.35"/>
    <row r="915" ht="14.25" customHeight="1" x14ac:dyDescent="0.35"/>
    <row r="916" ht="14.25" customHeight="1" x14ac:dyDescent="0.35"/>
    <row r="917" ht="14.25" customHeight="1" x14ac:dyDescent="0.35"/>
    <row r="918" ht="14.25" customHeight="1" x14ac:dyDescent="0.35"/>
    <row r="919" ht="14.25" customHeight="1" x14ac:dyDescent="0.35"/>
    <row r="920" ht="14.25" customHeight="1" x14ac:dyDescent="0.35"/>
    <row r="921" ht="14.25" customHeight="1" x14ac:dyDescent="0.35"/>
    <row r="922" ht="14.25" customHeight="1" x14ac:dyDescent="0.35"/>
    <row r="923" ht="14.25" customHeight="1" x14ac:dyDescent="0.35"/>
    <row r="924" ht="14.25" customHeight="1" x14ac:dyDescent="0.35"/>
    <row r="925" ht="14.25" customHeight="1" x14ac:dyDescent="0.35"/>
    <row r="926" ht="14.25" customHeight="1" x14ac:dyDescent="0.35"/>
    <row r="927" ht="14.25" customHeight="1" x14ac:dyDescent="0.35"/>
    <row r="928" ht="14.25" customHeight="1" x14ac:dyDescent="0.35"/>
    <row r="929" ht="14.25" customHeight="1" x14ac:dyDescent="0.35"/>
    <row r="930" ht="14.25" customHeight="1" x14ac:dyDescent="0.35"/>
    <row r="931" ht="14.25" customHeight="1" x14ac:dyDescent="0.35"/>
    <row r="932" ht="14.25" customHeight="1" x14ac:dyDescent="0.35"/>
    <row r="933" ht="14.25" customHeight="1" x14ac:dyDescent="0.35"/>
    <row r="934" ht="14.25" customHeight="1" x14ac:dyDescent="0.35"/>
    <row r="935" ht="14.25" customHeight="1" x14ac:dyDescent="0.35"/>
    <row r="936" ht="14.25" customHeight="1" x14ac:dyDescent="0.35"/>
    <row r="937" ht="14.25" customHeight="1" x14ac:dyDescent="0.35"/>
    <row r="938" ht="14.25" customHeight="1" x14ac:dyDescent="0.35"/>
    <row r="939" ht="14.25" customHeight="1" x14ac:dyDescent="0.35"/>
    <row r="940" ht="14.25" customHeight="1" x14ac:dyDescent="0.35"/>
    <row r="941" ht="14.25" customHeight="1" x14ac:dyDescent="0.35"/>
    <row r="942" ht="14.25" customHeight="1" x14ac:dyDescent="0.35"/>
    <row r="943" ht="14.25" customHeight="1" x14ac:dyDescent="0.35"/>
    <row r="944" ht="14.25" customHeight="1" x14ac:dyDescent="0.35"/>
    <row r="945" ht="14.25" customHeight="1" x14ac:dyDescent="0.35"/>
    <row r="946" ht="14.25" customHeight="1" x14ac:dyDescent="0.35"/>
    <row r="947" ht="14.25" customHeight="1" x14ac:dyDescent="0.35"/>
    <row r="948" ht="14.25" customHeight="1" x14ac:dyDescent="0.35"/>
    <row r="949" ht="14.25" customHeight="1" x14ac:dyDescent="0.35"/>
    <row r="950" ht="14.25" customHeight="1" x14ac:dyDescent="0.35"/>
    <row r="951" ht="14.25" customHeight="1" x14ac:dyDescent="0.35"/>
    <row r="952" ht="14.25" customHeight="1" x14ac:dyDescent="0.35"/>
    <row r="953" ht="14.25" customHeight="1" x14ac:dyDescent="0.35"/>
    <row r="954" ht="14.25" customHeight="1" x14ac:dyDescent="0.35"/>
    <row r="955" ht="14.25" customHeight="1" x14ac:dyDescent="0.35"/>
    <row r="956" ht="14.25" customHeight="1" x14ac:dyDescent="0.35"/>
    <row r="957" ht="14.25" customHeight="1" x14ac:dyDescent="0.35"/>
    <row r="958" ht="14.25" customHeight="1" x14ac:dyDescent="0.35"/>
    <row r="959" ht="14.25" customHeight="1" x14ac:dyDescent="0.35"/>
    <row r="960" ht="14.25" customHeight="1" x14ac:dyDescent="0.35"/>
    <row r="961" ht="14.25" customHeight="1" x14ac:dyDescent="0.35"/>
    <row r="962" ht="14.25" customHeight="1" x14ac:dyDescent="0.35"/>
    <row r="963" ht="14.25" customHeight="1" x14ac:dyDescent="0.35"/>
    <row r="964" ht="14.25" customHeight="1" x14ac:dyDescent="0.35"/>
    <row r="965" ht="14.25" customHeight="1" x14ac:dyDescent="0.35"/>
    <row r="966" ht="14.25" customHeight="1" x14ac:dyDescent="0.35"/>
    <row r="967" ht="14.25" customHeight="1" x14ac:dyDescent="0.35"/>
    <row r="968" ht="14.25" customHeight="1" x14ac:dyDescent="0.35"/>
    <row r="969" ht="14.25" customHeight="1" x14ac:dyDescent="0.35"/>
    <row r="970" ht="14.25" customHeight="1" x14ac:dyDescent="0.35"/>
    <row r="971" ht="14.25" customHeight="1" x14ac:dyDescent="0.35"/>
    <row r="972" ht="14.25" customHeight="1" x14ac:dyDescent="0.35"/>
    <row r="973" ht="14.25" customHeight="1" x14ac:dyDescent="0.35"/>
    <row r="974" ht="14.25" customHeight="1" x14ac:dyDescent="0.35"/>
    <row r="975" ht="14.25" customHeight="1" x14ac:dyDescent="0.35"/>
    <row r="976" ht="14.25" customHeight="1" x14ac:dyDescent="0.35"/>
    <row r="977" ht="14.25" customHeight="1" x14ac:dyDescent="0.35"/>
    <row r="978" ht="14.25" customHeight="1" x14ac:dyDescent="0.35"/>
    <row r="979" ht="14.25" customHeight="1" x14ac:dyDescent="0.35"/>
    <row r="980" ht="14.25" customHeight="1" x14ac:dyDescent="0.35"/>
    <row r="981" ht="14.25" customHeight="1" x14ac:dyDescent="0.35"/>
    <row r="982" ht="14.25" customHeight="1" x14ac:dyDescent="0.35"/>
    <row r="983" ht="14.25" customHeight="1" x14ac:dyDescent="0.35"/>
    <row r="984" ht="14.25" customHeight="1" x14ac:dyDescent="0.35"/>
    <row r="985" ht="14.25" customHeight="1" x14ac:dyDescent="0.35"/>
    <row r="986" ht="14.25" customHeight="1" x14ac:dyDescent="0.35"/>
    <row r="987" ht="14.25" customHeight="1" x14ac:dyDescent="0.35"/>
    <row r="988" ht="14.25" customHeight="1" x14ac:dyDescent="0.35"/>
    <row r="989" ht="14.25" customHeight="1" x14ac:dyDescent="0.35"/>
    <row r="990" ht="14.25" customHeight="1" x14ac:dyDescent="0.35"/>
    <row r="991" ht="14.25" customHeight="1" x14ac:dyDescent="0.35"/>
    <row r="992" ht="14.25" customHeight="1" x14ac:dyDescent="0.35"/>
    <row r="993" ht="14.25" customHeight="1" x14ac:dyDescent="0.35"/>
    <row r="994" ht="14.25" customHeight="1" x14ac:dyDescent="0.35"/>
    <row r="995" ht="14.25" customHeight="1" x14ac:dyDescent="0.35"/>
    <row r="996" ht="14.25" customHeight="1" x14ac:dyDescent="0.35"/>
    <row r="997" ht="14.25" customHeight="1" x14ac:dyDescent="0.35"/>
    <row r="998" ht="14.25" customHeight="1" x14ac:dyDescent="0.35"/>
    <row r="999" ht="14.25" customHeight="1" x14ac:dyDescent="0.35"/>
    <row r="1000" ht="14.25" customHeight="1" x14ac:dyDescent="0.35"/>
  </sheetData>
  <mergeCells count="198">
    <mergeCell ref="W54:X54"/>
    <mergeCell ref="Y54:Z54"/>
    <mergeCell ref="AA54:AB54"/>
    <mergeCell ref="AC54:AD54"/>
    <mergeCell ref="I54:J54"/>
    <mergeCell ref="K54:L54"/>
    <mergeCell ref="M54:N54"/>
    <mergeCell ref="O54:P54"/>
    <mergeCell ref="Q54:R54"/>
    <mergeCell ref="S54:T54"/>
    <mergeCell ref="U54:V54"/>
    <mergeCell ref="W53:X53"/>
    <mergeCell ref="Y53:Z53"/>
    <mergeCell ref="AA53:AB53"/>
    <mergeCell ref="AC53:AD53"/>
    <mergeCell ref="I53:J53"/>
    <mergeCell ref="K53:L53"/>
    <mergeCell ref="M53:N53"/>
    <mergeCell ref="O53:P53"/>
    <mergeCell ref="Q53:R53"/>
    <mergeCell ref="S53:T53"/>
    <mergeCell ref="U53:V53"/>
    <mergeCell ref="W44:X44"/>
    <mergeCell ref="Y44:Z44"/>
    <mergeCell ref="AA44:AB44"/>
    <mergeCell ref="AC44:AD44"/>
    <mergeCell ref="I44:J44"/>
    <mergeCell ref="K44:L44"/>
    <mergeCell ref="M44:N44"/>
    <mergeCell ref="O44:P44"/>
    <mergeCell ref="Q44:R44"/>
    <mergeCell ref="S44:T44"/>
    <mergeCell ref="U44:V44"/>
    <mergeCell ref="W43:X43"/>
    <mergeCell ref="Y43:Z43"/>
    <mergeCell ref="AA43:AB43"/>
    <mergeCell ref="AC43:AD43"/>
    <mergeCell ref="I43:J43"/>
    <mergeCell ref="K43:L43"/>
    <mergeCell ref="M43:N43"/>
    <mergeCell ref="O43:P43"/>
    <mergeCell ref="Q43:R43"/>
    <mergeCell ref="S43:T43"/>
    <mergeCell ref="U43:V43"/>
    <mergeCell ref="W34:X34"/>
    <mergeCell ref="Y34:Z34"/>
    <mergeCell ref="AA34:AB34"/>
    <mergeCell ref="AC34:AD34"/>
    <mergeCell ref="I34:J34"/>
    <mergeCell ref="K34:L34"/>
    <mergeCell ref="M34:N34"/>
    <mergeCell ref="O34:P34"/>
    <mergeCell ref="Q34:R34"/>
    <mergeCell ref="S34:T34"/>
    <mergeCell ref="U34:V34"/>
    <mergeCell ref="W33:X33"/>
    <mergeCell ref="Y33:Z33"/>
    <mergeCell ref="AA33:AB33"/>
    <mergeCell ref="AC33:AD33"/>
    <mergeCell ref="I33:J33"/>
    <mergeCell ref="K33:L33"/>
    <mergeCell ref="M33:N33"/>
    <mergeCell ref="O33:P33"/>
    <mergeCell ref="Q33:R33"/>
    <mergeCell ref="S33:T33"/>
    <mergeCell ref="U33:V33"/>
    <mergeCell ref="W24:X24"/>
    <mergeCell ref="Y24:Z24"/>
    <mergeCell ref="AA24:AB24"/>
    <mergeCell ref="AC24:AD24"/>
    <mergeCell ref="I24:J24"/>
    <mergeCell ref="K24:L24"/>
    <mergeCell ref="M24:N24"/>
    <mergeCell ref="O24:P24"/>
    <mergeCell ref="Q24:R24"/>
    <mergeCell ref="S24:T24"/>
    <mergeCell ref="U24:V24"/>
    <mergeCell ref="W96:X96"/>
    <mergeCell ref="Y96:Z96"/>
    <mergeCell ref="AA96:AB96"/>
    <mergeCell ref="AC96:AD96"/>
    <mergeCell ref="I96:J96"/>
    <mergeCell ref="K96:L96"/>
    <mergeCell ref="M96:N96"/>
    <mergeCell ref="O96:P96"/>
    <mergeCell ref="Q96:R96"/>
    <mergeCell ref="S96:T96"/>
    <mergeCell ref="U96:V96"/>
    <mergeCell ref="W23:X23"/>
    <mergeCell ref="Y23:Z23"/>
    <mergeCell ref="AA23:AB23"/>
    <mergeCell ref="AC23:AD23"/>
    <mergeCell ref="I23:J23"/>
    <mergeCell ref="K23:L23"/>
    <mergeCell ref="M23:N23"/>
    <mergeCell ref="O23:P23"/>
    <mergeCell ref="Q23:R23"/>
    <mergeCell ref="S23:T23"/>
    <mergeCell ref="U23:V23"/>
    <mergeCell ref="W14:X14"/>
    <mergeCell ref="Y14:Z14"/>
    <mergeCell ref="AA14:AB14"/>
    <mergeCell ref="AC14:AD14"/>
    <mergeCell ref="I14:J14"/>
    <mergeCell ref="K14:L14"/>
    <mergeCell ref="M14:N14"/>
    <mergeCell ref="O14:P14"/>
    <mergeCell ref="Q14:R14"/>
    <mergeCell ref="S14:T14"/>
    <mergeCell ref="U14:V14"/>
    <mergeCell ref="W13:X13"/>
    <mergeCell ref="Y13:Z13"/>
    <mergeCell ref="AA13:AB13"/>
    <mergeCell ref="AC13:AD13"/>
    <mergeCell ref="I13:J13"/>
    <mergeCell ref="K13:L13"/>
    <mergeCell ref="M13:N13"/>
    <mergeCell ref="O13:P13"/>
    <mergeCell ref="Q13:R13"/>
    <mergeCell ref="S13:T13"/>
    <mergeCell ref="U13:V13"/>
    <mergeCell ref="W95:X95"/>
    <mergeCell ref="Y95:Z95"/>
    <mergeCell ref="AA95:AB95"/>
    <mergeCell ref="AC95:AD95"/>
    <mergeCell ref="I95:J95"/>
    <mergeCell ref="K95:L95"/>
    <mergeCell ref="M95:N95"/>
    <mergeCell ref="O95:P95"/>
    <mergeCell ref="Q95:R95"/>
    <mergeCell ref="S95:T95"/>
    <mergeCell ref="U95:V95"/>
    <mergeCell ref="W86:X86"/>
    <mergeCell ref="Y86:Z86"/>
    <mergeCell ref="AA86:AB86"/>
    <mergeCell ref="AC86:AD86"/>
    <mergeCell ref="I86:J86"/>
    <mergeCell ref="K86:L86"/>
    <mergeCell ref="M86:N86"/>
    <mergeCell ref="O86:P86"/>
    <mergeCell ref="Q86:R86"/>
    <mergeCell ref="S86:T86"/>
    <mergeCell ref="U86:V86"/>
    <mergeCell ref="W85:X85"/>
    <mergeCell ref="Y85:Z85"/>
    <mergeCell ref="AA85:AB85"/>
    <mergeCell ref="AC85:AD85"/>
    <mergeCell ref="I85:J85"/>
    <mergeCell ref="K85:L85"/>
    <mergeCell ref="M85:N85"/>
    <mergeCell ref="O85:P85"/>
    <mergeCell ref="Q85:R85"/>
    <mergeCell ref="S85:T85"/>
    <mergeCell ref="U85:V85"/>
    <mergeCell ref="W76:X76"/>
    <mergeCell ref="Y76:Z76"/>
    <mergeCell ref="AA76:AB76"/>
    <mergeCell ref="AC76:AD76"/>
    <mergeCell ref="I76:J76"/>
    <mergeCell ref="K76:L76"/>
    <mergeCell ref="M76:N76"/>
    <mergeCell ref="O76:P76"/>
    <mergeCell ref="Q76:R76"/>
    <mergeCell ref="S76:T76"/>
    <mergeCell ref="U76:V76"/>
    <mergeCell ref="W75:X75"/>
    <mergeCell ref="Y75:Z75"/>
    <mergeCell ref="AA75:AB75"/>
    <mergeCell ref="AC75:AD75"/>
    <mergeCell ref="I75:J75"/>
    <mergeCell ref="K75:L75"/>
    <mergeCell ref="M75:N75"/>
    <mergeCell ref="O75:P75"/>
    <mergeCell ref="Q75:R75"/>
    <mergeCell ref="S75:T75"/>
    <mergeCell ref="U75:V75"/>
    <mergeCell ref="W66:X66"/>
    <mergeCell ref="Y66:Z66"/>
    <mergeCell ref="AA66:AB66"/>
    <mergeCell ref="AC66:AD66"/>
    <mergeCell ref="I66:J66"/>
    <mergeCell ref="K66:L66"/>
    <mergeCell ref="M66:N66"/>
    <mergeCell ref="O66:P66"/>
    <mergeCell ref="Q66:R66"/>
    <mergeCell ref="S66:T66"/>
    <mergeCell ref="U66:V66"/>
    <mergeCell ref="W65:X65"/>
    <mergeCell ref="Y65:Z65"/>
    <mergeCell ref="AA65:AB65"/>
    <mergeCell ref="AC65:AD65"/>
    <mergeCell ref="I65:J65"/>
    <mergeCell ref="K65:L65"/>
    <mergeCell ref="M65:N65"/>
    <mergeCell ref="O65:P65"/>
    <mergeCell ref="Q65:R65"/>
    <mergeCell ref="S65:T65"/>
    <mergeCell ref="U65:V65"/>
  </mergeCells>
  <pageMargins left="0.7" right="0.7" top="0.78740157499999996" bottom="0.78740157499999996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Y999"/>
  <sheetViews>
    <sheetView tabSelected="1" zoomScaleNormal="100" zoomScaleSheetLayoutView="100" workbookViewId="0">
      <pane ySplit="16" topLeftCell="A17" activePane="bottomLeft" state="frozen"/>
      <selection pane="bottomLeft" activeCell="S22" sqref="S22"/>
    </sheetView>
  </sheetViews>
  <sheetFormatPr baseColWidth="10" defaultColWidth="12.6328125" defaultRowHeight="15" customHeight="1" x14ac:dyDescent="0.35"/>
  <cols>
    <col min="1" max="1" width="11.26953125" customWidth="1"/>
    <col min="2" max="13" width="9.453125" customWidth="1"/>
    <col min="14" max="14" width="12.36328125" customWidth="1"/>
    <col min="15" max="15" width="11.26953125" customWidth="1"/>
    <col min="16" max="16" width="12.36328125" customWidth="1"/>
    <col min="17" max="17" width="3.90625" customWidth="1"/>
    <col min="18" max="18" width="15.90625" customWidth="1"/>
    <col min="19" max="23" width="12.36328125" customWidth="1"/>
    <col min="24" max="24" width="7.08984375" customWidth="1"/>
    <col min="25" max="25" width="4" customWidth="1"/>
    <col min="26" max="27" width="9.36328125" customWidth="1"/>
  </cols>
  <sheetData>
    <row r="1" spans="1:23" ht="14.25" customHeight="1" x14ac:dyDescent="0.45">
      <c r="A1" s="35" t="s">
        <v>98</v>
      </c>
      <c r="B1" s="36"/>
      <c r="C1" s="36"/>
      <c r="D1" s="36"/>
      <c r="E1" s="36"/>
      <c r="F1" s="36"/>
      <c r="G1" s="36"/>
      <c r="H1" s="36"/>
      <c r="I1" s="36"/>
      <c r="J1" s="36"/>
      <c r="K1" s="36"/>
      <c r="L1" s="36"/>
      <c r="M1" s="36"/>
      <c r="N1" s="36"/>
      <c r="O1" s="36"/>
      <c r="P1" s="36"/>
      <c r="R1" s="37" t="s">
        <v>99</v>
      </c>
      <c r="S1" s="38"/>
      <c r="T1" s="38"/>
      <c r="U1" s="38"/>
      <c r="V1" s="38"/>
      <c r="W1" s="38"/>
    </row>
    <row r="2" spans="1:23" ht="14.25" customHeight="1" x14ac:dyDescent="0.35">
      <c r="R2" s="22" t="s">
        <v>100</v>
      </c>
      <c r="S2" s="39" t="s">
        <v>137</v>
      </c>
      <c r="T2" s="22" t="s">
        <v>102</v>
      </c>
      <c r="U2" s="40" t="s">
        <v>138</v>
      </c>
    </row>
    <row r="3" spans="1:23" ht="14.25" customHeight="1" x14ac:dyDescent="0.35">
      <c r="A3" s="41" t="s">
        <v>104</v>
      </c>
      <c r="B3" s="36"/>
      <c r="C3" s="36"/>
      <c r="D3" s="36"/>
      <c r="E3" s="36"/>
      <c r="F3" s="36"/>
      <c r="G3" s="36"/>
      <c r="H3" s="36"/>
    </row>
    <row r="4" spans="1:23" ht="14.25" customHeight="1" x14ac:dyDescent="0.35">
      <c r="A4" s="42" t="s">
        <v>3</v>
      </c>
      <c r="B4" s="43" t="s">
        <v>105</v>
      </c>
      <c r="C4" s="43" t="s">
        <v>5</v>
      </c>
      <c r="D4" s="43" t="s">
        <v>106</v>
      </c>
      <c r="E4" s="43" t="s">
        <v>23</v>
      </c>
      <c r="F4" s="43" t="s">
        <v>107</v>
      </c>
      <c r="G4" s="44" t="s">
        <v>72</v>
      </c>
      <c r="H4" s="45" t="s">
        <v>108</v>
      </c>
      <c r="R4" s="46" t="s">
        <v>10</v>
      </c>
      <c r="S4" s="47" t="s">
        <v>109</v>
      </c>
      <c r="T4" s="47" t="s">
        <v>110</v>
      </c>
      <c r="U4" s="48" t="s">
        <v>111</v>
      </c>
      <c r="V4" s="49" t="s">
        <v>112</v>
      </c>
      <c r="W4" s="50" t="s">
        <v>113</v>
      </c>
    </row>
    <row r="5" spans="1:23" ht="14.25" customHeight="1" x14ac:dyDescent="0.35">
      <c r="A5" s="51">
        <v>6</v>
      </c>
      <c r="B5" s="52">
        <v>50</v>
      </c>
      <c r="C5" s="52">
        <v>20</v>
      </c>
      <c r="D5" s="52">
        <v>10</v>
      </c>
      <c r="E5" s="150"/>
      <c r="F5" s="150"/>
      <c r="G5" s="151"/>
      <c r="H5" s="53">
        <f t="shared" ref="H5:H10" si="0">A5*20</f>
        <v>120</v>
      </c>
      <c r="R5" s="54" t="s">
        <v>22</v>
      </c>
      <c r="S5" s="55">
        <v>1</v>
      </c>
      <c r="T5" s="56"/>
      <c r="U5" s="57"/>
      <c r="V5" s="58">
        <f t="shared" ref="V5:V15" si="1">IF(S5=1,T5+U5,"")</f>
        <v>0</v>
      </c>
      <c r="W5" s="59" t="str">
        <f t="shared" ref="W5:W15" si="2">IF(S5&lt;&gt;1,"",IF(AND(T5=0,U5=0),"",TRIM(IF(T5&gt;0,"R1:"&amp;TEXT(T5,"0"&amp;" €"),"")&amp;" "&amp;IF(U5&gt;0,"R2:"&amp;TEXT(U5,"0"&amp;" €"),""))))</f>
        <v/>
      </c>
    </row>
    <row r="6" spans="1:23" ht="14.25" customHeight="1" x14ac:dyDescent="0.35">
      <c r="A6" s="60">
        <v>7</v>
      </c>
      <c r="B6" s="52">
        <v>60</v>
      </c>
      <c r="C6" s="52">
        <v>20</v>
      </c>
      <c r="D6" s="52">
        <v>10</v>
      </c>
      <c r="E6" s="150"/>
      <c r="F6" s="150"/>
      <c r="G6" s="151"/>
      <c r="H6" s="61">
        <f t="shared" si="0"/>
        <v>140</v>
      </c>
      <c r="R6" s="54" t="s">
        <v>14</v>
      </c>
      <c r="S6" s="55">
        <v>1</v>
      </c>
      <c r="T6" s="56"/>
      <c r="U6" s="57"/>
      <c r="V6" s="58">
        <f t="shared" si="1"/>
        <v>0</v>
      </c>
      <c r="W6" s="59" t="str">
        <f t="shared" si="2"/>
        <v/>
      </c>
    </row>
    <row r="7" spans="1:23" ht="14.25" customHeight="1" x14ac:dyDescent="0.35">
      <c r="A7" s="51">
        <v>8</v>
      </c>
      <c r="B7" s="52">
        <v>50</v>
      </c>
      <c r="C7" s="52">
        <v>40</v>
      </c>
      <c r="D7" s="52">
        <v>30</v>
      </c>
      <c r="E7" s="52">
        <v>20</v>
      </c>
      <c r="F7" s="150"/>
      <c r="G7" s="151"/>
      <c r="H7" s="53">
        <f t="shared" si="0"/>
        <v>160</v>
      </c>
      <c r="R7" s="54" t="s">
        <v>25</v>
      </c>
      <c r="S7" s="55">
        <v>1</v>
      </c>
      <c r="T7" s="56"/>
      <c r="U7" s="57"/>
      <c r="V7" s="58">
        <f>IF(S7=1,T7+U7,"")</f>
        <v>0</v>
      </c>
      <c r="W7" s="59" t="str">
        <f t="shared" si="2"/>
        <v/>
      </c>
    </row>
    <row r="8" spans="1:23" ht="14.25" customHeight="1" x14ac:dyDescent="0.35">
      <c r="A8" s="60">
        <v>9</v>
      </c>
      <c r="B8" s="52">
        <v>60</v>
      </c>
      <c r="C8" s="52">
        <v>40</v>
      </c>
      <c r="D8" s="52">
        <v>30</v>
      </c>
      <c r="E8" s="52">
        <v>20</v>
      </c>
      <c r="F8" s="150"/>
      <c r="G8" s="151"/>
      <c r="H8" s="61">
        <f t="shared" si="0"/>
        <v>180</v>
      </c>
      <c r="R8" s="54" t="s">
        <v>16</v>
      </c>
      <c r="S8" s="55">
        <v>1</v>
      </c>
      <c r="T8" s="56"/>
      <c r="U8" s="57"/>
      <c r="V8" s="58">
        <f t="shared" si="1"/>
        <v>0</v>
      </c>
      <c r="W8" s="59" t="str">
        <f t="shared" si="2"/>
        <v/>
      </c>
    </row>
    <row r="9" spans="1:23" ht="14.25" customHeight="1" x14ac:dyDescent="0.35">
      <c r="A9" s="51">
        <v>10</v>
      </c>
      <c r="B9" s="52">
        <v>60</v>
      </c>
      <c r="C9" s="52">
        <v>40</v>
      </c>
      <c r="D9" s="52">
        <v>30</v>
      </c>
      <c r="E9" s="52">
        <v>20</v>
      </c>
      <c r="F9" s="52">
        <v>20</v>
      </c>
      <c r="G9" s="62">
        <v>20</v>
      </c>
      <c r="H9" s="53">
        <f t="shared" si="0"/>
        <v>200</v>
      </c>
      <c r="R9" s="54" t="s">
        <v>20</v>
      </c>
      <c r="S9" s="55">
        <v>1</v>
      </c>
      <c r="T9" s="56"/>
      <c r="U9" s="57"/>
      <c r="V9" s="58">
        <f t="shared" si="1"/>
        <v>0</v>
      </c>
      <c r="W9" s="59" t="str">
        <f t="shared" si="2"/>
        <v/>
      </c>
    </row>
    <row r="10" spans="1:23" ht="14.25" customHeight="1" x14ac:dyDescent="0.35">
      <c r="A10" s="63">
        <v>11</v>
      </c>
      <c r="B10" s="64">
        <v>60</v>
      </c>
      <c r="C10" s="64">
        <v>40</v>
      </c>
      <c r="D10" s="64">
        <v>30</v>
      </c>
      <c r="E10" s="64">
        <v>20</v>
      </c>
      <c r="F10" s="64">
        <v>20</v>
      </c>
      <c r="G10" s="65">
        <v>20</v>
      </c>
      <c r="H10" s="66">
        <f t="shared" si="0"/>
        <v>220</v>
      </c>
      <c r="R10" s="54" t="s">
        <v>29</v>
      </c>
      <c r="S10" s="55">
        <v>1</v>
      </c>
      <c r="T10" s="56"/>
      <c r="U10" s="57"/>
      <c r="V10" s="58">
        <f t="shared" si="1"/>
        <v>0</v>
      </c>
      <c r="W10" s="59" t="str">
        <f t="shared" si="2"/>
        <v/>
      </c>
    </row>
    <row r="11" spans="1:23" ht="14.25" customHeight="1" x14ac:dyDescent="0.35">
      <c r="A11" s="33" t="s">
        <v>114</v>
      </c>
      <c r="R11" s="54" t="s">
        <v>26</v>
      </c>
      <c r="S11" s="55"/>
      <c r="T11" s="56"/>
      <c r="U11" s="57"/>
      <c r="V11" s="58" t="str">
        <f t="shared" si="1"/>
        <v/>
      </c>
      <c r="W11" s="59" t="str">
        <f t="shared" si="2"/>
        <v/>
      </c>
    </row>
    <row r="12" spans="1:23" ht="14.25" customHeight="1" x14ac:dyDescent="0.35">
      <c r="R12" s="67" t="s">
        <v>28</v>
      </c>
      <c r="S12" s="68"/>
      <c r="T12" s="69"/>
      <c r="U12" s="70"/>
      <c r="V12" s="71" t="str">
        <f t="shared" si="1"/>
        <v/>
      </c>
      <c r="W12" s="72" t="str">
        <f t="shared" si="2"/>
        <v/>
      </c>
    </row>
    <row r="13" spans="1:23" ht="14.25" customHeight="1" x14ac:dyDescent="0.35">
      <c r="A13" s="73"/>
      <c r="B13" s="74" t="s">
        <v>115</v>
      </c>
      <c r="C13" s="75" t="s">
        <v>116</v>
      </c>
      <c r="D13" s="75" t="s">
        <v>117</v>
      </c>
      <c r="E13" s="75" t="s">
        <v>118</v>
      </c>
      <c r="F13" s="75" t="s">
        <v>119</v>
      </c>
      <c r="G13" s="75" t="s">
        <v>120</v>
      </c>
      <c r="H13" s="75" t="s">
        <v>121</v>
      </c>
      <c r="I13" s="75" t="s">
        <v>122</v>
      </c>
      <c r="J13" s="75" t="s">
        <v>123</v>
      </c>
      <c r="K13" s="76" t="s">
        <v>124</v>
      </c>
      <c r="L13" s="77" t="s">
        <v>101</v>
      </c>
      <c r="M13" s="152" t="s">
        <v>137</v>
      </c>
      <c r="N13" s="78" t="s">
        <v>136</v>
      </c>
      <c r="O13" s="78" t="s">
        <v>95</v>
      </c>
      <c r="P13" s="79" t="s">
        <v>96</v>
      </c>
      <c r="R13" s="80" t="s">
        <v>31</v>
      </c>
      <c r="S13" s="81">
        <v>1</v>
      </c>
      <c r="T13" s="82"/>
      <c r="U13" s="83"/>
      <c r="V13" s="84">
        <f t="shared" si="1"/>
        <v>0</v>
      </c>
      <c r="W13" s="85" t="str">
        <f t="shared" si="2"/>
        <v/>
      </c>
    </row>
    <row r="14" spans="1:23" ht="14.25" customHeight="1" x14ac:dyDescent="0.35">
      <c r="A14" s="86" t="s">
        <v>125</v>
      </c>
      <c r="B14" s="87" t="s">
        <v>43</v>
      </c>
      <c r="C14" s="88" t="s">
        <v>54</v>
      </c>
      <c r="D14" s="88" t="s">
        <v>58</v>
      </c>
      <c r="E14" s="88" t="s">
        <v>61</v>
      </c>
      <c r="F14" s="88" t="s">
        <v>126</v>
      </c>
      <c r="G14" s="88" t="s">
        <v>76</v>
      </c>
      <c r="H14" s="88" t="s">
        <v>79</v>
      </c>
      <c r="I14" s="88" t="s">
        <v>127</v>
      </c>
      <c r="J14" s="88" t="s">
        <v>128</v>
      </c>
      <c r="K14" s="89" t="s">
        <v>129</v>
      </c>
      <c r="L14" s="90" t="s">
        <v>103</v>
      </c>
      <c r="M14" s="153" t="s">
        <v>138</v>
      </c>
      <c r="N14" s="91"/>
      <c r="O14" s="91"/>
      <c r="P14" s="92"/>
      <c r="R14" s="93" t="s">
        <v>27</v>
      </c>
      <c r="S14" s="94">
        <v>1</v>
      </c>
      <c r="T14" s="95"/>
      <c r="U14" s="96"/>
      <c r="V14" s="97">
        <f t="shared" si="1"/>
        <v>0</v>
      </c>
      <c r="W14" s="98" t="str">
        <f t="shared" si="2"/>
        <v/>
      </c>
    </row>
    <row r="15" spans="1:23" ht="14.25" customHeight="1" x14ac:dyDescent="0.35">
      <c r="A15" s="99" t="s">
        <v>10</v>
      </c>
      <c r="B15" s="100">
        <v>6</v>
      </c>
      <c r="C15" s="101">
        <v>7</v>
      </c>
      <c r="D15" s="101">
        <v>6</v>
      </c>
      <c r="E15" s="101">
        <v>6</v>
      </c>
      <c r="F15" s="101">
        <v>10</v>
      </c>
      <c r="G15" s="101">
        <v>8</v>
      </c>
      <c r="H15" s="101">
        <v>6</v>
      </c>
      <c r="I15" s="101">
        <v>8</v>
      </c>
      <c r="J15" s="101">
        <v>9</v>
      </c>
      <c r="K15" s="102">
        <v>8</v>
      </c>
      <c r="L15" s="103">
        <v>8</v>
      </c>
      <c r="M15" s="154">
        <v>8</v>
      </c>
      <c r="N15" s="104"/>
      <c r="O15" s="104"/>
      <c r="P15" s="105"/>
      <c r="R15" s="54" t="s">
        <v>30</v>
      </c>
      <c r="S15" s="55"/>
      <c r="T15" s="56"/>
      <c r="U15" s="57"/>
      <c r="V15" s="58" t="str">
        <f t="shared" si="1"/>
        <v/>
      </c>
      <c r="W15" s="59" t="str">
        <f t="shared" si="2"/>
        <v/>
      </c>
    </row>
    <row r="16" spans="1:23" ht="14.25" customHeight="1" x14ac:dyDescent="0.35">
      <c r="A16" s="106" t="s">
        <v>130</v>
      </c>
      <c r="B16" s="107">
        <v>240</v>
      </c>
      <c r="C16" s="108">
        <v>280</v>
      </c>
      <c r="D16" s="108">
        <v>240</v>
      </c>
      <c r="E16" s="108">
        <v>240</v>
      </c>
      <c r="F16" s="108">
        <v>400</v>
      </c>
      <c r="G16" s="108">
        <v>320</v>
      </c>
      <c r="H16" s="108">
        <v>240</v>
      </c>
      <c r="I16" s="108">
        <v>320</v>
      </c>
      <c r="J16" s="108">
        <v>360</v>
      </c>
      <c r="K16" s="109">
        <v>320</v>
      </c>
      <c r="L16" s="110">
        <v>320</v>
      </c>
      <c r="M16" s="155">
        <v>320</v>
      </c>
      <c r="N16" s="111"/>
      <c r="O16" s="111"/>
      <c r="P16" s="112"/>
      <c r="R16" s="113" t="s">
        <v>131</v>
      </c>
      <c r="S16" s="114">
        <f t="shared" ref="S16:V16" si="3">SUM(S5:S15)</f>
        <v>8</v>
      </c>
      <c r="T16" s="115">
        <f t="shared" si="3"/>
        <v>0</v>
      </c>
      <c r="U16" s="116">
        <f t="shared" si="3"/>
        <v>0</v>
      </c>
      <c r="V16" s="117">
        <f t="shared" si="3"/>
        <v>0</v>
      </c>
      <c r="W16" s="118" t="str">
        <f>IF(V16=S16*40,"✓ "&amp;S16*40&amp;"€","✗ Soll: "&amp;S16*40&amp;"€")</f>
        <v>✗ Soll: 320€</v>
      </c>
    </row>
    <row r="17" spans="1:16" ht="14.25" customHeight="1" x14ac:dyDescent="0.35">
      <c r="A17" s="119" t="s">
        <v>22</v>
      </c>
      <c r="B17" s="120">
        <v>50</v>
      </c>
      <c r="C17" s="121">
        <v>20</v>
      </c>
      <c r="D17" s="121">
        <v>70</v>
      </c>
      <c r="E17" s="121">
        <v>50</v>
      </c>
      <c r="F17" s="121">
        <v>60</v>
      </c>
      <c r="G17" s="121">
        <v>50</v>
      </c>
      <c r="H17" s="121">
        <v>0</v>
      </c>
      <c r="I17" s="121">
        <v>50</v>
      </c>
      <c r="J17" s="121">
        <v>70</v>
      </c>
      <c r="K17" s="122">
        <v>70</v>
      </c>
      <c r="L17" s="123">
        <v>100</v>
      </c>
      <c r="M17" s="156">
        <f t="shared" ref="M17:M27" si="4">IFERROR(_xlfn.SINGLE(_xlfn.XLOOKUP(A17,$R$5:$R$15,$V$5:$V$15,"")),"")</f>
        <v>0</v>
      </c>
      <c r="N17" s="124">
        <f t="shared" ref="N17:N27" si="5">SUM(B17:M17)</f>
        <v>590</v>
      </c>
      <c r="O17" s="125">
        <f>IF(P17&gt;=8,N17/P17,"")</f>
        <v>53.636363636363633</v>
      </c>
      <c r="P17" s="126">
        <v>11</v>
      </c>
    </row>
    <row r="18" spans="1:16" ht="14.25" customHeight="1" x14ac:dyDescent="0.35">
      <c r="A18" s="127" t="s">
        <v>14</v>
      </c>
      <c r="B18" s="128">
        <v>70</v>
      </c>
      <c r="C18" s="129">
        <v>0</v>
      </c>
      <c r="D18" s="129">
        <v>0</v>
      </c>
      <c r="E18" s="129">
        <v>70</v>
      </c>
      <c r="F18" s="129">
        <v>60</v>
      </c>
      <c r="G18" s="129">
        <v>80</v>
      </c>
      <c r="H18" s="129">
        <v>60</v>
      </c>
      <c r="I18" s="129">
        <v>30</v>
      </c>
      <c r="J18" s="129">
        <v>120</v>
      </c>
      <c r="K18" s="130">
        <v>0</v>
      </c>
      <c r="L18" s="131">
        <v>20</v>
      </c>
      <c r="M18" s="157">
        <f t="shared" si="4"/>
        <v>0</v>
      </c>
      <c r="N18" s="132">
        <f t="shared" si="5"/>
        <v>510</v>
      </c>
      <c r="O18" s="133">
        <f t="shared" ref="O18:O27" si="6">IF(P18&gt;=8,N18/P18,"")</f>
        <v>46.363636363636367</v>
      </c>
      <c r="P18" s="134">
        <v>11</v>
      </c>
    </row>
    <row r="19" spans="1:16" ht="17.25" customHeight="1" x14ac:dyDescent="0.35">
      <c r="A19" s="135" t="s">
        <v>25</v>
      </c>
      <c r="B19" s="136">
        <v>0</v>
      </c>
      <c r="C19" s="137">
        <v>20</v>
      </c>
      <c r="D19" s="137">
        <v>0</v>
      </c>
      <c r="E19" s="137">
        <v>70</v>
      </c>
      <c r="F19" s="137">
        <v>40</v>
      </c>
      <c r="G19" s="137">
        <v>56.67</v>
      </c>
      <c r="H19" s="137">
        <v>50</v>
      </c>
      <c r="I19" s="137">
        <v>100</v>
      </c>
      <c r="J19" s="137">
        <v>60</v>
      </c>
      <c r="K19" s="138"/>
      <c r="L19" s="139">
        <v>40</v>
      </c>
      <c r="M19" s="158">
        <f t="shared" si="4"/>
        <v>0</v>
      </c>
      <c r="N19" s="132">
        <f t="shared" si="5"/>
        <v>436.67</v>
      </c>
      <c r="O19" s="133">
        <f t="shared" si="6"/>
        <v>43.667000000000002</v>
      </c>
      <c r="P19" s="134">
        <v>10</v>
      </c>
    </row>
    <row r="20" spans="1:16" ht="14.25" customHeight="1" x14ac:dyDescent="0.35">
      <c r="A20" s="127" t="s">
        <v>16</v>
      </c>
      <c r="B20" s="128">
        <v>50</v>
      </c>
      <c r="C20" s="129">
        <v>120</v>
      </c>
      <c r="D20" s="129">
        <v>10</v>
      </c>
      <c r="E20" s="129">
        <v>0</v>
      </c>
      <c r="F20" s="129">
        <v>30</v>
      </c>
      <c r="G20" s="129">
        <v>26.67</v>
      </c>
      <c r="H20" s="129"/>
      <c r="I20" s="129">
        <v>30</v>
      </c>
      <c r="J20" s="129">
        <v>60</v>
      </c>
      <c r="K20" s="130">
        <v>50</v>
      </c>
      <c r="L20" s="131">
        <v>0</v>
      </c>
      <c r="M20" s="157">
        <f t="shared" si="4"/>
        <v>0</v>
      </c>
      <c r="N20" s="132">
        <f t="shared" si="5"/>
        <v>376.67</v>
      </c>
      <c r="O20" s="133">
        <f t="shared" si="6"/>
        <v>37.667000000000002</v>
      </c>
      <c r="P20" s="134">
        <v>10</v>
      </c>
    </row>
    <row r="21" spans="1:16" ht="14.25" customHeight="1" x14ac:dyDescent="0.35">
      <c r="A21" s="135" t="s">
        <v>20</v>
      </c>
      <c r="B21" s="136">
        <v>50</v>
      </c>
      <c r="C21" s="137">
        <v>120</v>
      </c>
      <c r="D21" s="137"/>
      <c r="E21" s="137"/>
      <c r="F21" s="137">
        <v>40</v>
      </c>
      <c r="G21" s="137">
        <v>0</v>
      </c>
      <c r="H21" s="137">
        <v>10</v>
      </c>
      <c r="I21" s="137">
        <v>50</v>
      </c>
      <c r="J21" s="137">
        <v>0</v>
      </c>
      <c r="K21" s="138">
        <v>40</v>
      </c>
      <c r="L21" s="139">
        <v>50</v>
      </c>
      <c r="M21" s="158">
        <f t="shared" si="4"/>
        <v>0</v>
      </c>
      <c r="N21" s="132">
        <f t="shared" si="5"/>
        <v>360</v>
      </c>
      <c r="O21" s="133">
        <f t="shared" si="6"/>
        <v>40</v>
      </c>
      <c r="P21" s="134">
        <v>9</v>
      </c>
    </row>
    <row r="22" spans="1:16" ht="14.25" customHeight="1" x14ac:dyDescent="0.35">
      <c r="A22" s="127" t="s">
        <v>29</v>
      </c>
      <c r="B22" s="128"/>
      <c r="C22" s="129">
        <v>0</v>
      </c>
      <c r="D22" s="129">
        <v>50</v>
      </c>
      <c r="E22" s="129">
        <v>50</v>
      </c>
      <c r="F22" s="129">
        <v>60</v>
      </c>
      <c r="G22" s="129">
        <v>6.67</v>
      </c>
      <c r="H22" s="129">
        <v>50</v>
      </c>
      <c r="I22" s="129"/>
      <c r="J22" s="129">
        <v>0</v>
      </c>
      <c r="K22" s="130">
        <v>50</v>
      </c>
      <c r="L22" s="131">
        <v>40</v>
      </c>
      <c r="M22" s="157">
        <f t="shared" si="4"/>
        <v>0</v>
      </c>
      <c r="N22" s="132">
        <f t="shared" si="5"/>
        <v>306.66999999999996</v>
      </c>
      <c r="O22" s="133">
        <f t="shared" si="6"/>
        <v>34.074444444444438</v>
      </c>
      <c r="P22" s="134">
        <v>9</v>
      </c>
    </row>
    <row r="23" spans="1:16" ht="14.25" customHeight="1" x14ac:dyDescent="0.35">
      <c r="A23" s="135" t="s">
        <v>26</v>
      </c>
      <c r="B23" s="136">
        <v>20</v>
      </c>
      <c r="C23" s="137"/>
      <c r="D23" s="137">
        <v>110</v>
      </c>
      <c r="E23" s="137"/>
      <c r="F23" s="137">
        <v>10</v>
      </c>
      <c r="G23" s="137"/>
      <c r="H23" s="137"/>
      <c r="I23" s="137">
        <v>40</v>
      </c>
      <c r="J23" s="137">
        <v>0</v>
      </c>
      <c r="K23" s="138">
        <v>40</v>
      </c>
      <c r="L23" s="139">
        <v>0</v>
      </c>
      <c r="M23" s="158" t="str">
        <f t="shared" si="4"/>
        <v/>
      </c>
      <c r="N23" s="132">
        <f t="shared" si="5"/>
        <v>220</v>
      </c>
      <c r="O23" s="133" t="str">
        <f t="shared" si="6"/>
        <v/>
      </c>
      <c r="P23" s="134">
        <v>6</v>
      </c>
    </row>
    <row r="24" spans="1:16" ht="14.25" customHeight="1" x14ac:dyDescent="0.35">
      <c r="A24" s="127" t="s">
        <v>28</v>
      </c>
      <c r="B24" s="128"/>
      <c r="C24" s="129"/>
      <c r="D24" s="129"/>
      <c r="E24" s="129"/>
      <c r="F24" s="129">
        <v>60</v>
      </c>
      <c r="G24" s="129">
        <v>50</v>
      </c>
      <c r="H24" s="129">
        <v>70</v>
      </c>
      <c r="I24" s="129"/>
      <c r="J24" s="129">
        <v>0</v>
      </c>
      <c r="K24" s="130"/>
      <c r="L24" s="131"/>
      <c r="M24" s="157" t="str">
        <f t="shared" si="4"/>
        <v/>
      </c>
      <c r="N24" s="132">
        <f t="shared" si="5"/>
        <v>180</v>
      </c>
      <c r="O24" s="133" t="str">
        <f t="shared" si="6"/>
        <v/>
      </c>
      <c r="P24" s="134">
        <v>4</v>
      </c>
    </row>
    <row r="25" spans="1:16" ht="14.25" customHeight="1" x14ac:dyDescent="0.35">
      <c r="A25" s="135" t="s">
        <v>31</v>
      </c>
      <c r="B25" s="136"/>
      <c r="C25" s="137"/>
      <c r="D25" s="137"/>
      <c r="E25" s="137"/>
      <c r="F25" s="137">
        <v>40</v>
      </c>
      <c r="G25" s="137">
        <v>50</v>
      </c>
      <c r="H25" s="137"/>
      <c r="I25" s="137">
        <v>0</v>
      </c>
      <c r="J25" s="137"/>
      <c r="K25" s="138">
        <v>50</v>
      </c>
      <c r="L25" s="139">
        <v>20</v>
      </c>
      <c r="M25" s="158">
        <f t="shared" si="4"/>
        <v>0</v>
      </c>
      <c r="N25" s="132">
        <f t="shared" si="5"/>
        <v>160</v>
      </c>
      <c r="O25" s="133" t="str">
        <f t="shared" si="6"/>
        <v/>
      </c>
      <c r="P25" s="134">
        <v>5</v>
      </c>
    </row>
    <row r="26" spans="1:16" ht="14.25" customHeight="1" x14ac:dyDescent="0.35">
      <c r="A26" s="127" t="s">
        <v>27</v>
      </c>
      <c r="B26" s="128"/>
      <c r="C26" s="129">
        <v>0</v>
      </c>
      <c r="D26" s="129"/>
      <c r="E26" s="129">
        <v>0</v>
      </c>
      <c r="F26" s="129">
        <v>0</v>
      </c>
      <c r="G26" s="129">
        <v>0</v>
      </c>
      <c r="H26" s="129"/>
      <c r="I26" s="129">
        <v>20</v>
      </c>
      <c r="J26" s="129">
        <v>50</v>
      </c>
      <c r="K26" s="130">
        <v>20</v>
      </c>
      <c r="L26" s="131">
        <v>50</v>
      </c>
      <c r="M26" s="157">
        <f t="shared" si="4"/>
        <v>0</v>
      </c>
      <c r="N26" s="132">
        <f t="shared" si="5"/>
        <v>140</v>
      </c>
      <c r="O26" s="133" t="str">
        <f t="shared" si="6"/>
        <v/>
      </c>
      <c r="P26" s="134">
        <v>7</v>
      </c>
    </row>
    <row r="27" spans="1:16" ht="14.25" customHeight="1" x14ac:dyDescent="0.35">
      <c r="A27" s="140" t="s">
        <v>30</v>
      </c>
      <c r="B27" s="141"/>
      <c r="C27" s="142"/>
      <c r="D27" s="142"/>
      <c r="E27" s="142"/>
      <c r="F27" s="142"/>
      <c r="G27" s="142"/>
      <c r="H27" s="142"/>
      <c r="I27" s="142"/>
      <c r="J27" s="142"/>
      <c r="K27" s="143"/>
      <c r="L27" s="144">
        <v>0</v>
      </c>
      <c r="M27" s="159" t="str">
        <f t="shared" si="4"/>
        <v/>
      </c>
      <c r="N27" s="145">
        <f t="shared" si="5"/>
        <v>0</v>
      </c>
      <c r="O27" s="146" t="str">
        <f t="shared" si="6"/>
        <v/>
      </c>
      <c r="P27" s="147">
        <v>0</v>
      </c>
    </row>
    <row r="28" spans="1:16" ht="14.25" customHeight="1" x14ac:dyDescent="0.35"/>
    <row r="29" spans="1:16" ht="14.25" customHeight="1" x14ac:dyDescent="0.35">
      <c r="A29" s="148" t="s">
        <v>132</v>
      </c>
    </row>
    <row r="30" spans="1:16" ht="14.25" customHeight="1" x14ac:dyDescent="0.35">
      <c r="A30" s="149" t="s">
        <v>133</v>
      </c>
    </row>
    <row r="31" spans="1:16" ht="14.25" customHeight="1" x14ac:dyDescent="0.35">
      <c r="A31" s="149" t="s">
        <v>134</v>
      </c>
    </row>
    <row r="32" spans="1:16" ht="14.25" customHeight="1" x14ac:dyDescent="0.35">
      <c r="A32" s="149" t="s">
        <v>135</v>
      </c>
    </row>
    <row r="33" ht="14.25" customHeight="1" x14ac:dyDescent="0.35"/>
    <row r="34" ht="360" customHeight="1" x14ac:dyDescent="0.35"/>
    <row r="35" ht="14.25" customHeight="1" x14ac:dyDescent="0.35"/>
    <row r="36" ht="14.25" customHeight="1" x14ac:dyDescent="0.35"/>
    <row r="37" ht="14.25" customHeight="1" x14ac:dyDescent="0.35"/>
    <row r="38" ht="14.25" customHeight="1" x14ac:dyDescent="0.35"/>
    <row r="39" ht="14.25" customHeight="1" x14ac:dyDescent="0.35"/>
    <row r="40" ht="14.25" customHeight="1" x14ac:dyDescent="0.35"/>
    <row r="41" ht="14.25" customHeight="1" x14ac:dyDescent="0.35"/>
    <row r="42" ht="14.25" customHeight="1" x14ac:dyDescent="0.35"/>
    <row r="43" ht="14.25" customHeight="1" x14ac:dyDescent="0.35"/>
    <row r="44" ht="14.25" customHeight="1" x14ac:dyDescent="0.35"/>
    <row r="45" ht="14.25" customHeight="1" x14ac:dyDescent="0.35"/>
    <row r="46" ht="14.25" customHeight="1" x14ac:dyDescent="0.35"/>
    <row r="47" ht="14.25" customHeight="1" x14ac:dyDescent="0.35"/>
    <row r="48" ht="14.25" customHeight="1" x14ac:dyDescent="0.35"/>
    <row r="49" spans="6:25" ht="14.25" customHeight="1" x14ac:dyDescent="0.35"/>
    <row r="50" spans="6:25" ht="14.25" customHeight="1" x14ac:dyDescent="0.35"/>
    <row r="51" spans="6:25" ht="14.25" customHeight="1" x14ac:dyDescent="0.35"/>
    <row r="52" spans="6:25" ht="14.25" customHeight="1" x14ac:dyDescent="0.35"/>
    <row r="53" spans="6:25" ht="14.25" customHeight="1" x14ac:dyDescent="0.35"/>
    <row r="54" spans="6:25" ht="14.25" customHeight="1" x14ac:dyDescent="0.35"/>
    <row r="55" spans="6:25" ht="14.25" customHeight="1" x14ac:dyDescent="0.35"/>
    <row r="56" spans="6:25" ht="14.25" customHeight="1" x14ac:dyDescent="0.35"/>
    <row r="57" spans="6:25" ht="14.25" customHeight="1" x14ac:dyDescent="0.35"/>
    <row r="58" spans="6:25" ht="14.25" customHeight="1" x14ac:dyDescent="0.45">
      <c r="F58" s="15"/>
      <c r="J58" s="24"/>
      <c r="N58" s="24"/>
      <c r="O58" s="25"/>
      <c r="P58" s="24"/>
      <c r="Q58" s="25"/>
      <c r="R58" s="24"/>
      <c r="S58" s="25"/>
      <c r="T58" s="24"/>
      <c r="U58" s="25"/>
      <c r="V58" s="24"/>
      <c r="W58" s="25"/>
      <c r="X58" s="24"/>
      <c r="Y58" s="25"/>
    </row>
    <row r="59" spans="6:25" ht="14.25" customHeight="1" x14ac:dyDescent="0.35"/>
    <row r="60" spans="6:25" ht="14.25" customHeight="1" x14ac:dyDescent="0.35">
      <c r="I60" s="160"/>
      <c r="J60" s="161"/>
      <c r="K60" s="160"/>
      <c r="L60" s="161"/>
      <c r="M60" s="161"/>
      <c r="N60" s="161"/>
      <c r="O60" s="160"/>
      <c r="P60" s="161"/>
      <c r="Q60" s="160"/>
      <c r="R60" s="161"/>
      <c r="S60" s="160"/>
      <c r="T60" s="161"/>
      <c r="U60" s="160"/>
      <c r="V60" s="161"/>
      <c r="W60" s="160"/>
      <c r="X60" s="161"/>
      <c r="Y60" s="9"/>
    </row>
    <row r="61" spans="6:25" ht="14.25" customHeight="1" x14ac:dyDescent="0.35">
      <c r="I61" s="160"/>
      <c r="J61" s="161"/>
      <c r="K61" s="160"/>
      <c r="L61" s="161"/>
      <c r="M61" s="161"/>
      <c r="N61" s="161"/>
      <c r="O61" s="160"/>
      <c r="P61" s="161"/>
      <c r="Q61" s="160"/>
      <c r="R61" s="161"/>
      <c r="S61" s="160"/>
      <c r="T61" s="161"/>
      <c r="U61" s="160"/>
      <c r="V61" s="161"/>
      <c r="W61" s="160"/>
      <c r="X61" s="161"/>
      <c r="Y61" s="9"/>
    </row>
    <row r="62" spans="6:25" ht="14.25" customHeight="1" x14ac:dyDescent="0.35">
      <c r="J62" s="23"/>
      <c r="N62" s="23"/>
      <c r="P62" s="23"/>
      <c r="R62" s="23"/>
      <c r="T62" s="23"/>
      <c r="V62" s="23"/>
      <c r="X62" s="23"/>
    </row>
    <row r="63" spans="6:25" ht="14.25" customHeight="1" x14ac:dyDescent="0.35">
      <c r="J63" s="23"/>
      <c r="N63" s="23"/>
      <c r="P63" s="23"/>
      <c r="R63" s="23"/>
      <c r="T63" s="23"/>
      <c r="V63" s="23"/>
      <c r="X63" s="23"/>
    </row>
    <row r="64" spans="6:25" ht="14.25" customHeight="1" x14ac:dyDescent="0.35">
      <c r="J64" s="23"/>
      <c r="N64" s="23"/>
      <c r="P64" s="23"/>
      <c r="R64" s="23"/>
      <c r="T64" s="23"/>
      <c r="V64" s="23"/>
      <c r="X64" s="23"/>
    </row>
    <row r="65" spans="6:25" ht="14.25" customHeight="1" x14ac:dyDescent="0.35">
      <c r="J65" s="23"/>
      <c r="N65" s="23"/>
      <c r="P65" s="23"/>
      <c r="R65" s="23"/>
      <c r="T65" s="23"/>
      <c r="V65" s="23"/>
      <c r="X65" s="23"/>
    </row>
    <row r="66" spans="6:25" ht="14.25" customHeight="1" x14ac:dyDescent="0.35">
      <c r="J66" s="23"/>
      <c r="N66" s="23"/>
      <c r="P66" s="23"/>
      <c r="R66" s="23"/>
      <c r="T66" s="23"/>
      <c r="V66" s="23"/>
      <c r="X66" s="23"/>
    </row>
    <row r="67" spans="6:25" ht="14.25" customHeight="1" x14ac:dyDescent="0.35">
      <c r="J67" s="23"/>
      <c r="N67" s="23"/>
      <c r="P67" s="23"/>
      <c r="R67" s="23"/>
      <c r="T67" s="23"/>
      <c r="V67" s="23"/>
      <c r="X67" s="23"/>
    </row>
    <row r="68" spans="6:25" ht="14.25" customHeight="1" x14ac:dyDescent="0.35">
      <c r="J68" s="23"/>
      <c r="N68" s="23"/>
      <c r="P68" s="23"/>
      <c r="R68" s="23"/>
      <c r="T68" s="23"/>
      <c r="V68" s="23"/>
      <c r="X68" s="23"/>
    </row>
    <row r="69" spans="6:25" ht="14.25" customHeight="1" x14ac:dyDescent="0.35">
      <c r="J69" s="23"/>
      <c r="N69" s="23"/>
      <c r="P69" s="23"/>
      <c r="R69" s="23"/>
      <c r="T69" s="23"/>
      <c r="V69" s="23"/>
      <c r="X69" s="23"/>
    </row>
    <row r="70" spans="6:25" ht="14.25" customHeight="1" x14ac:dyDescent="0.45">
      <c r="F70" s="15"/>
      <c r="J70" s="24"/>
      <c r="N70" s="24"/>
      <c r="O70" s="25"/>
      <c r="P70" s="24"/>
      <c r="Q70" s="25"/>
      <c r="R70" s="24"/>
      <c r="S70" s="25"/>
      <c r="T70" s="24"/>
      <c r="U70" s="25"/>
      <c r="V70" s="24"/>
      <c r="W70" s="25"/>
      <c r="X70" s="24"/>
      <c r="Y70" s="25"/>
    </row>
    <row r="71" spans="6:25" ht="14.25" customHeight="1" x14ac:dyDescent="0.35"/>
    <row r="72" spans="6:25" ht="14.25" customHeight="1" x14ac:dyDescent="0.35">
      <c r="I72" s="160"/>
      <c r="J72" s="161"/>
      <c r="K72" s="160"/>
      <c r="L72" s="161"/>
      <c r="M72" s="161"/>
      <c r="N72" s="161"/>
      <c r="O72" s="160"/>
      <c r="P72" s="161"/>
      <c r="Q72" s="160"/>
      <c r="R72" s="161"/>
      <c r="S72" s="160"/>
      <c r="T72" s="161"/>
      <c r="U72" s="160"/>
      <c r="V72" s="161"/>
      <c r="W72" s="160"/>
      <c r="X72" s="161"/>
      <c r="Y72" s="9"/>
    </row>
    <row r="73" spans="6:25" ht="14.25" customHeight="1" x14ac:dyDescent="0.35">
      <c r="I73" s="160"/>
      <c r="J73" s="161"/>
      <c r="K73" s="160"/>
      <c r="L73" s="161"/>
      <c r="M73" s="161"/>
      <c r="N73" s="161"/>
      <c r="O73" s="160"/>
      <c r="P73" s="161"/>
      <c r="Q73" s="160"/>
      <c r="R73" s="161"/>
      <c r="S73" s="160"/>
      <c r="T73" s="161"/>
      <c r="U73" s="160"/>
      <c r="V73" s="161"/>
      <c r="W73" s="160"/>
      <c r="X73" s="161"/>
      <c r="Y73" s="9"/>
    </row>
    <row r="74" spans="6:25" ht="14.25" customHeight="1" x14ac:dyDescent="0.35">
      <c r="J74" s="23"/>
      <c r="N74" s="23"/>
      <c r="P74" s="23"/>
      <c r="R74" s="23"/>
      <c r="T74" s="23"/>
      <c r="V74" s="23"/>
      <c r="X74" s="23"/>
    </row>
    <row r="75" spans="6:25" ht="14.25" customHeight="1" x14ac:dyDescent="0.35">
      <c r="J75" s="23"/>
      <c r="N75" s="23"/>
      <c r="P75" s="23"/>
      <c r="R75" s="23"/>
      <c r="T75" s="23"/>
      <c r="V75" s="23"/>
      <c r="X75" s="23"/>
    </row>
    <row r="76" spans="6:25" ht="14.25" customHeight="1" x14ac:dyDescent="0.35">
      <c r="J76" s="23"/>
      <c r="N76" s="23"/>
      <c r="P76" s="23"/>
      <c r="R76" s="23"/>
      <c r="T76" s="23"/>
      <c r="V76" s="23"/>
      <c r="X76" s="23"/>
    </row>
    <row r="77" spans="6:25" ht="14.25" customHeight="1" x14ac:dyDescent="0.35">
      <c r="J77" s="23"/>
      <c r="N77" s="23"/>
      <c r="P77" s="23"/>
      <c r="R77" s="23"/>
      <c r="T77" s="23"/>
      <c r="V77" s="23"/>
      <c r="X77" s="23"/>
    </row>
    <row r="78" spans="6:25" ht="14.25" customHeight="1" x14ac:dyDescent="0.35">
      <c r="J78" s="23"/>
      <c r="N78" s="23"/>
      <c r="P78" s="23"/>
      <c r="R78" s="23"/>
      <c r="T78" s="23"/>
      <c r="V78" s="23"/>
      <c r="X78" s="23"/>
    </row>
    <row r="79" spans="6:25" ht="14.25" customHeight="1" x14ac:dyDescent="0.35">
      <c r="J79" s="23"/>
      <c r="N79" s="23"/>
      <c r="P79" s="23"/>
      <c r="R79" s="23"/>
      <c r="T79" s="23"/>
      <c r="V79" s="23"/>
      <c r="X79" s="23"/>
    </row>
    <row r="80" spans="6:25" ht="14.25" customHeight="1" x14ac:dyDescent="0.45">
      <c r="F80" s="15"/>
      <c r="J80" s="24"/>
      <c r="N80" s="24"/>
      <c r="O80" s="25"/>
      <c r="P80" s="24"/>
      <c r="Q80" s="25"/>
      <c r="R80" s="24"/>
      <c r="S80" s="25"/>
      <c r="T80" s="24"/>
      <c r="U80" s="25"/>
      <c r="V80" s="24"/>
      <c r="W80" s="25"/>
      <c r="X80" s="24"/>
      <c r="Y80" s="25"/>
    </row>
    <row r="81" spans="4:25" ht="14.25" customHeight="1" x14ac:dyDescent="0.35"/>
    <row r="82" spans="4:25" ht="14.25" customHeight="1" x14ac:dyDescent="0.35">
      <c r="I82" s="160"/>
      <c r="J82" s="161"/>
      <c r="K82" s="160"/>
      <c r="L82" s="161"/>
      <c r="M82" s="161"/>
      <c r="N82" s="161"/>
      <c r="O82" s="160"/>
      <c r="P82" s="161"/>
      <c r="Q82" s="160"/>
      <c r="R82" s="161"/>
      <c r="S82" s="160"/>
      <c r="T82" s="161"/>
      <c r="U82" s="160"/>
      <c r="V82" s="161"/>
      <c r="W82" s="160"/>
      <c r="X82" s="161"/>
      <c r="Y82" s="9"/>
    </row>
    <row r="83" spans="4:25" ht="14.25" customHeight="1" x14ac:dyDescent="0.35">
      <c r="I83" s="160"/>
      <c r="J83" s="161"/>
      <c r="K83" s="160"/>
      <c r="L83" s="161"/>
      <c r="M83" s="161"/>
      <c r="N83" s="161"/>
      <c r="O83" s="160"/>
      <c r="P83" s="161"/>
      <c r="Q83" s="160"/>
      <c r="R83" s="161"/>
      <c r="S83" s="160"/>
      <c r="T83" s="161"/>
      <c r="U83" s="160"/>
      <c r="V83" s="161"/>
      <c r="W83" s="160"/>
      <c r="X83" s="161"/>
      <c r="Y83" s="9"/>
    </row>
    <row r="84" spans="4:25" ht="14.25" customHeight="1" x14ac:dyDescent="0.35">
      <c r="J84" s="23"/>
      <c r="N84" s="23"/>
      <c r="P84" s="23"/>
      <c r="R84" s="23"/>
      <c r="T84" s="23"/>
      <c r="V84" s="23"/>
      <c r="X84" s="23"/>
    </row>
    <row r="85" spans="4:25" ht="14.25" customHeight="1" x14ac:dyDescent="0.35">
      <c r="J85" s="23"/>
      <c r="N85" s="23"/>
      <c r="P85" s="23"/>
      <c r="R85" s="23"/>
      <c r="T85" s="23"/>
      <c r="V85" s="23"/>
      <c r="X85" s="23"/>
    </row>
    <row r="86" spans="4:25" ht="14.25" customHeight="1" x14ac:dyDescent="0.35">
      <c r="J86" s="23"/>
      <c r="N86" s="23"/>
      <c r="P86" s="23"/>
      <c r="R86" s="23"/>
      <c r="T86" s="23"/>
      <c r="V86" s="23"/>
      <c r="X86" s="23"/>
    </row>
    <row r="87" spans="4:25" ht="14.25" customHeight="1" x14ac:dyDescent="0.35">
      <c r="J87" s="23"/>
      <c r="N87" s="23"/>
      <c r="P87" s="23"/>
      <c r="R87" s="23"/>
      <c r="T87" s="23"/>
      <c r="V87" s="23"/>
      <c r="X87" s="23"/>
    </row>
    <row r="88" spans="4:25" ht="14.25" customHeight="1" x14ac:dyDescent="0.35">
      <c r="J88" s="23"/>
      <c r="N88" s="23"/>
      <c r="P88" s="23"/>
      <c r="R88" s="23"/>
      <c r="T88" s="23"/>
      <c r="V88" s="23"/>
      <c r="X88" s="23"/>
    </row>
    <row r="89" spans="4:25" ht="14.25" customHeight="1" x14ac:dyDescent="0.35">
      <c r="J89" s="23"/>
      <c r="N89" s="23"/>
      <c r="P89" s="23"/>
      <c r="R89" s="23"/>
      <c r="T89" s="23"/>
      <c r="V89" s="23"/>
      <c r="X89" s="23"/>
    </row>
    <row r="90" spans="4:25" ht="14.25" customHeight="1" x14ac:dyDescent="0.45">
      <c r="F90" s="15"/>
      <c r="J90" s="24"/>
      <c r="N90" s="24"/>
      <c r="O90" s="25"/>
      <c r="P90" s="24"/>
      <c r="Q90" s="25"/>
      <c r="R90" s="24"/>
      <c r="S90" s="25"/>
      <c r="T90" s="24"/>
      <c r="U90" s="25"/>
      <c r="V90" s="24"/>
      <c r="W90" s="25"/>
      <c r="X90" s="24"/>
      <c r="Y90" s="25"/>
    </row>
    <row r="91" spans="4:25" ht="14.25" customHeight="1" x14ac:dyDescent="0.35"/>
    <row r="92" spans="4:25" ht="14.25" customHeight="1" x14ac:dyDescent="0.35">
      <c r="I92" s="160"/>
      <c r="J92" s="161"/>
      <c r="K92" s="160"/>
      <c r="L92" s="161"/>
      <c r="M92" s="161"/>
      <c r="N92" s="161"/>
      <c r="O92" s="160"/>
      <c r="P92" s="161"/>
      <c r="Q92" s="160"/>
      <c r="R92" s="161"/>
      <c r="S92" s="160"/>
      <c r="T92" s="161"/>
      <c r="U92" s="160"/>
      <c r="V92" s="161"/>
      <c r="W92" s="160"/>
      <c r="X92" s="161"/>
      <c r="Y92" s="9"/>
    </row>
    <row r="93" spans="4:25" ht="14.25" customHeight="1" x14ac:dyDescent="0.35">
      <c r="D93" s="26"/>
      <c r="I93" s="160"/>
      <c r="J93" s="161"/>
      <c r="K93" s="160"/>
      <c r="L93" s="161"/>
      <c r="M93" s="161"/>
      <c r="N93" s="161"/>
      <c r="O93" s="160"/>
      <c r="P93" s="161"/>
      <c r="Q93" s="160"/>
      <c r="R93" s="161"/>
      <c r="S93" s="160"/>
      <c r="T93" s="161"/>
      <c r="U93" s="160"/>
      <c r="V93" s="161"/>
      <c r="W93" s="160"/>
      <c r="X93" s="161"/>
      <c r="Y93" s="9"/>
    </row>
    <row r="94" spans="4:25" ht="14.25" customHeight="1" x14ac:dyDescent="0.35">
      <c r="J94" s="23"/>
      <c r="N94" s="23"/>
      <c r="P94" s="23"/>
      <c r="R94" s="23"/>
      <c r="T94" s="23"/>
      <c r="V94" s="23"/>
      <c r="X94" s="23"/>
    </row>
    <row r="95" spans="4:25" ht="14.25" customHeight="1" x14ac:dyDescent="0.35">
      <c r="J95" s="23"/>
      <c r="N95" s="23"/>
      <c r="P95" s="23"/>
      <c r="R95" s="23"/>
      <c r="T95" s="23"/>
      <c r="V95" s="23"/>
      <c r="X95" s="23"/>
    </row>
    <row r="96" spans="4:25" ht="14.25" customHeight="1" x14ac:dyDescent="0.35">
      <c r="J96" s="23"/>
      <c r="N96" s="23"/>
      <c r="P96" s="23"/>
      <c r="R96" s="23"/>
      <c r="T96" s="23"/>
      <c r="V96" s="23"/>
      <c r="X96" s="23"/>
    </row>
    <row r="97" spans="4:25" ht="14.25" customHeight="1" x14ac:dyDescent="0.35">
      <c r="J97" s="23"/>
      <c r="N97" s="23"/>
      <c r="P97" s="23"/>
      <c r="R97" s="23"/>
      <c r="T97" s="23"/>
      <c r="V97" s="23"/>
      <c r="X97" s="23"/>
    </row>
    <row r="98" spans="4:25" ht="14.25" customHeight="1" x14ac:dyDescent="0.35">
      <c r="J98" s="23"/>
      <c r="N98" s="23"/>
      <c r="P98" s="23"/>
      <c r="R98" s="23"/>
      <c r="T98" s="23"/>
      <c r="V98" s="23"/>
      <c r="X98" s="23"/>
    </row>
    <row r="99" spans="4:25" ht="14.25" customHeight="1" x14ac:dyDescent="0.35">
      <c r="J99" s="23"/>
      <c r="N99" s="23"/>
      <c r="P99" s="23"/>
      <c r="R99" s="23"/>
      <c r="T99" s="23"/>
      <c r="V99" s="23"/>
      <c r="X99" s="23"/>
    </row>
    <row r="100" spans="4:25" ht="14.25" customHeight="1" x14ac:dyDescent="0.45">
      <c r="F100" s="15"/>
      <c r="J100" s="24"/>
      <c r="N100" s="24"/>
      <c r="O100" s="25"/>
      <c r="P100" s="24"/>
      <c r="Q100" s="25"/>
      <c r="R100" s="24"/>
      <c r="S100" s="25"/>
      <c r="T100" s="24"/>
      <c r="U100" s="25"/>
      <c r="V100" s="24"/>
      <c r="W100" s="25"/>
      <c r="X100" s="24"/>
      <c r="Y100" s="25"/>
    </row>
    <row r="101" spans="4:25" ht="14.25" customHeight="1" x14ac:dyDescent="0.35"/>
    <row r="102" spans="4:25" ht="14.25" customHeight="1" x14ac:dyDescent="0.35">
      <c r="I102" s="160"/>
      <c r="J102" s="161"/>
      <c r="K102" s="160"/>
      <c r="L102" s="161"/>
      <c r="M102" s="161"/>
      <c r="N102" s="161"/>
      <c r="O102" s="160"/>
      <c r="P102" s="161"/>
      <c r="Q102" s="160"/>
      <c r="R102" s="161"/>
      <c r="S102" s="160"/>
      <c r="T102" s="161"/>
      <c r="U102" s="160"/>
      <c r="V102" s="161"/>
      <c r="W102" s="160"/>
      <c r="X102" s="161"/>
      <c r="Y102" s="9"/>
    </row>
    <row r="103" spans="4:25" ht="14.25" customHeight="1" x14ac:dyDescent="0.35">
      <c r="D103" s="26"/>
      <c r="I103" s="160"/>
      <c r="J103" s="161"/>
      <c r="K103" s="160"/>
      <c r="L103" s="161"/>
      <c r="M103" s="161"/>
      <c r="N103" s="161"/>
      <c r="O103" s="160"/>
      <c r="P103" s="161"/>
      <c r="Q103" s="160"/>
      <c r="R103" s="161"/>
      <c r="S103" s="160"/>
      <c r="T103" s="161"/>
      <c r="U103" s="160"/>
      <c r="V103" s="161"/>
      <c r="W103" s="160"/>
      <c r="X103" s="161"/>
      <c r="Y103" s="9"/>
    </row>
    <row r="104" spans="4:25" ht="14.25" customHeight="1" x14ac:dyDescent="0.35">
      <c r="J104" s="23"/>
      <c r="N104" s="23"/>
      <c r="P104" s="23"/>
      <c r="R104" s="23"/>
      <c r="T104" s="23"/>
      <c r="V104" s="23"/>
      <c r="X104" s="23"/>
    </row>
    <row r="105" spans="4:25" ht="14.25" customHeight="1" x14ac:dyDescent="0.35">
      <c r="J105" s="23"/>
      <c r="N105" s="23"/>
      <c r="P105" s="23"/>
      <c r="R105" s="23"/>
      <c r="T105" s="23"/>
      <c r="V105" s="23"/>
      <c r="X105" s="23"/>
    </row>
    <row r="106" spans="4:25" ht="14.25" customHeight="1" x14ac:dyDescent="0.35">
      <c r="J106" s="23"/>
      <c r="N106" s="23"/>
      <c r="P106" s="23"/>
      <c r="R106" s="23"/>
      <c r="T106" s="23"/>
      <c r="V106" s="23"/>
      <c r="X106" s="23"/>
    </row>
    <row r="107" spans="4:25" ht="14.25" customHeight="1" x14ac:dyDescent="0.35">
      <c r="J107" s="23"/>
      <c r="N107" s="23"/>
      <c r="P107" s="23"/>
      <c r="R107" s="23"/>
      <c r="T107" s="23"/>
      <c r="V107" s="23"/>
      <c r="X107" s="23"/>
    </row>
    <row r="108" spans="4:25" ht="14.25" customHeight="1" x14ac:dyDescent="0.35">
      <c r="J108" s="23"/>
      <c r="N108" s="23"/>
      <c r="P108" s="23"/>
      <c r="R108" s="23"/>
      <c r="T108" s="23"/>
      <c r="V108" s="23"/>
      <c r="X108" s="23"/>
    </row>
    <row r="109" spans="4:25" ht="14.25" customHeight="1" x14ac:dyDescent="0.35">
      <c r="J109" s="23"/>
      <c r="N109" s="23"/>
      <c r="P109" s="23"/>
      <c r="R109" s="23"/>
      <c r="T109" s="23"/>
      <c r="V109" s="23"/>
      <c r="X109" s="23"/>
    </row>
    <row r="110" spans="4:25" ht="14.25" customHeight="1" x14ac:dyDescent="0.35">
      <c r="J110" s="23"/>
      <c r="N110" s="23"/>
      <c r="P110" s="23"/>
      <c r="R110" s="23"/>
      <c r="T110" s="23"/>
      <c r="V110" s="23"/>
      <c r="X110" s="23"/>
    </row>
    <row r="111" spans="4:25" ht="14.25" customHeight="1" x14ac:dyDescent="0.35">
      <c r="J111" s="23"/>
      <c r="N111" s="23"/>
      <c r="P111" s="23"/>
      <c r="R111" s="23"/>
      <c r="T111" s="23"/>
      <c r="V111" s="23"/>
      <c r="X111" s="23"/>
    </row>
    <row r="112" spans="4:25" ht="14.25" customHeight="1" x14ac:dyDescent="0.45">
      <c r="F112" s="15"/>
      <c r="J112" s="24"/>
      <c r="N112" s="24"/>
      <c r="O112" s="25"/>
      <c r="P112" s="24"/>
      <c r="Q112" s="25"/>
      <c r="R112" s="24"/>
      <c r="S112" s="25"/>
      <c r="T112" s="24"/>
      <c r="U112" s="25"/>
      <c r="V112" s="24"/>
      <c r="W112" s="25"/>
      <c r="X112" s="24"/>
      <c r="Y112" s="25"/>
    </row>
    <row r="113" spans="4:25" ht="14.25" customHeight="1" x14ac:dyDescent="0.35"/>
    <row r="114" spans="4:25" ht="14.25" customHeight="1" x14ac:dyDescent="0.35">
      <c r="J114" s="9"/>
      <c r="N114" s="9"/>
      <c r="P114" s="9"/>
      <c r="R114" s="9"/>
      <c r="T114" s="9"/>
      <c r="V114" s="9"/>
      <c r="X114" s="9"/>
    </row>
    <row r="115" spans="4:25" ht="14.25" customHeight="1" x14ac:dyDescent="0.35">
      <c r="D115" s="29"/>
      <c r="I115" s="9"/>
      <c r="J115" s="9"/>
      <c r="K115" s="9"/>
      <c r="L115" s="9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</row>
    <row r="116" spans="4:25" ht="14.25" customHeight="1" x14ac:dyDescent="0.45">
      <c r="J116" s="30"/>
      <c r="N116" s="30"/>
      <c r="P116" s="30"/>
      <c r="R116" s="30"/>
      <c r="T116" s="30"/>
      <c r="V116" s="30"/>
      <c r="X116" s="30"/>
    </row>
    <row r="117" spans="4:25" ht="14.25" customHeight="1" x14ac:dyDescent="0.45">
      <c r="J117" s="30"/>
      <c r="N117" s="30"/>
      <c r="P117" s="30"/>
      <c r="R117" s="30"/>
      <c r="T117" s="30"/>
      <c r="V117" s="30"/>
      <c r="X117" s="30"/>
    </row>
    <row r="118" spans="4:25" ht="14.25" customHeight="1" x14ac:dyDescent="0.45">
      <c r="J118" s="30"/>
      <c r="N118" s="30"/>
      <c r="P118" s="30"/>
      <c r="R118" s="30"/>
      <c r="T118" s="30"/>
      <c r="V118" s="30"/>
      <c r="X118" s="30"/>
    </row>
    <row r="119" spans="4:25" ht="14.25" customHeight="1" x14ac:dyDescent="0.45">
      <c r="J119" s="30"/>
      <c r="N119" s="30"/>
      <c r="P119" s="30"/>
      <c r="R119" s="30"/>
      <c r="T119" s="30"/>
      <c r="V119" s="30"/>
      <c r="X119" s="30"/>
    </row>
    <row r="120" spans="4:25" ht="14.25" customHeight="1" x14ac:dyDescent="0.45">
      <c r="J120" s="30"/>
      <c r="N120" s="30"/>
      <c r="P120" s="30"/>
      <c r="R120" s="30"/>
      <c r="T120" s="30"/>
      <c r="V120" s="30"/>
      <c r="X120" s="30"/>
    </row>
    <row r="121" spans="4:25" ht="14.25" customHeight="1" x14ac:dyDescent="0.45">
      <c r="J121" s="30"/>
      <c r="N121" s="30"/>
      <c r="P121" s="30"/>
      <c r="R121" s="30"/>
      <c r="T121" s="30"/>
      <c r="V121" s="30"/>
      <c r="X121" s="30"/>
    </row>
    <row r="122" spans="4:25" ht="14.25" customHeight="1" x14ac:dyDescent="0.45">
      <c r="F122" s="15"/>
      <c r="J122" s="34"/>
      <c r="N122" s="34"/>
      <c r="P122" s="34"/>
      <c r="R122" s="34"/>
      <c r="T122" s="34"/>
      <c r="V122" s="34"/>
      <c r="X122" s="34"/>
    </row>
    <row r="123" spans="4:25" ht="14.25" customHeight="1" x14ac:dyDescent="0.35"/>
    <row r="124" spans="4:25" ht="14.25" customHeight="1" x14ac:dyDescent="0.35"/>
    <row r="125" spans="4:25" ht="14.25" customHeight="1" x14ac:dyDescent="0.35"/>
    <row r="126" spans="4:25" ht="14.25" customHeight="1" x14ac:dyDescent="0.35"/>
    <row r="127" spans="4:25" ht="14.25" customHeight="1" x14ac:dyDescent="0.35"/>
    <row r="128" spans="4:25" ht="14.25" customHeight="1" x14ac:dyDescent="0.35"/>
    <row r="129" ht="14.25" customHeight="1" x14ac:dyDescent="0.35"/>
    <row r="130" ht="14.25" customHeight="1" x14ac:dyDescent="0.35"/>
    <row r="131" ht="14.25" customHeight="1" x14ac:dyDescent="0.35"/>
    <row r="132" ht="14.25" customHeight="1" x14ac:dyDescent="0.35"/>
    <row r="133" ht="14.25" customHeight="1" x14ac:dyDescent="0.35"/>
    <row r="134" ht="14.25" customHeight="1" x14ac:dyDescent="0.35"/>
    <row r="135" ht="14.25" customHeight="1" x14ac:dyDescent="0.35"/>
    <row r="136" ht="14.25" customHeight="1" x14ac:dyDescent="0.35"/>
    <row r="137" ht="14.25" customHeight="1" x14ac:dyDescent="0.35"/>
    <row r="138" ht="14.25" customHeight="1" x14ac:dyDescent="0.35"/>
    <row r="139" ht="14.25" customHeight="1" x14ac:dyDescent="0.35"/>
    <row r="140" ht="14.25" customHeight="1" x14ac:dyDescent="0.35"/>
    <row r="141" ht="14.25" customHeight="1" x14ac:dyDescent="0.35"/>
    <row r="142" ht="14.25" customHeight="1" x14ac:dyDescent="0.35"/>
    <row r="143" ht="14.25" customHeight="1" x14ac:dyDescent="0.35"/>
    <row r="144" ht="14.25" customHeight="1" x14ac:dyDescent="0.35"/>
    <row r="145" ht="14.25" customHeight="1" x14ac:dyDescent="0.35"/>
    <row r="146" ht="14.25" customHeight="1" x14ac:dyDescent="0.35"/>
    <row r="147" ht="14.25" customHeight="1" x14ac:dyDescent="0.35"/>
    <row r="148" ht="14.25" customHeight="1" x14ac:dyDescent="0.35"/>
    <row r="149" ht="14.25" customHeight="1" x14ac:dyDescent="0.35"/>
    <row r="150" ht="14.25" customHeight="1" x14ac:dyDescent="0.35"/>
    <row r="151" ht="14.25" customHeight="1" x14ac:dyDescent="0.35"/>
    <row r="152" ht="14.25" customHeight="1" x14ac:dyDescent="0.35"/>
    <row r="153" ht="14.25" customHeight="1" x14ac:dyDescent="0.35"/>
    <row r="154" ht="14.25" customHeight="1" x14ac:dyDescent="0.35"/>
    <row r="155" ht="14.25" customHeight="1" x14ac:dyDescent="0.35"/>
    <row r="156" ht="14.25" customHeight="1" x14ac:dyDescent="0.35"/>
    <row r="157" ht="14.25" customHeight="1" x14ac:dyDescent="0.35"/>
    <row r="158" ht="14.25" customHeight="1" x14ac:dyDescent="0.35"/>
    <row r="159" ht="14.25" customHeight="1" x14ac:dyDescent="0.35"/>
    <row r="160" ht="14.25" customHeight="1" x14ac:dyDescent="0.35"/>
    <row r="161" ht="14.25" customHeight="1" x14ac:dyDescent="0.35"/>
    <row r="162" ht="14.25" customHeight="1" x14ac:dyDescent="0.35"/>
    <row r="163" ht="14.25" customHeight="1" x14ac:dyDescent="0.35"/>
    <row r="164" ht="14.25" customHeight="1" x14ac:dyDescent="0.35"/>
    <row r="165" ht="14.25" customHeight="1" x14ac:dyDescent="0.35"/>
    <row r="166" ht="14.25" customHeight="1" x14ac:dyDescent="0.35"/>
    <row r="167" ht="14.25" customHeight="1" x14ac:dyDescent="0.35"/>
    <row r="168" ht="14.25" customHeight="1" x14ac:dyDescent="0.35"/>
    <row r="169" ht="14.25" customHeight="1" x14ac:dyDescent="0.35"/>
    <row r="170" ht="14.25" customHeight="1" x14ac:dyDescent="0.35"/>
    <row r="171" ht="14.25" customHeight="1" x14ac:dyDescent="0.35"/>
    <row r="172" ht="14.25" customHeight="1" x14ac:dyDescent="0.35"/>
    <row r="173" ht="14.25" customHeight="1" x14ac:dyDescent="0.35"/>
    <row r="174" ht="14.25" customHeight="1" x14ac:dyDescent="0.35"/>
    <row r="175" ht="14.25" customHeight="1" x14ac:dyDescent="0.35"/>
    <row r="176" ht="14.25" customHeight="1" x14ac:dyDescent="0.35"/>
    <row r="177" ht="14.25" customHeight="1" x14ac:dyDescent="0.35"/>
    <row r="178" ht="14.25" customHeight="1" x14ac:dyDescent="0.35"/>
    <row r="179" ht="14.25" customHeight="1" x14ac:dyDescent="0.35"/>
    <row r="180" ht="14.25" customHeight="1" x14ac:dyDescent="0.35"/>
    <row r="181" ht="14.25" customHeight="1" x14ac:dyDescent="0.35"/>
    <row r="182" ht="14.25" customHeight="1" x14ac:dyDescent="0.35"/>
    <row r="183" ht="14.25" customHeight="1" x14ac:dyDescent="0.35"/>
    <row r="184" ht="14.25" customHeight="1" x14ac:dyDescent="0.35"/>
    <row r="185" ht="14.25" customHeight="1" x14ac:dyDescent="0.35"/>
    <row r="186" ht="14.25" customHeight="1" x14ac:dyDescent="0.35"/>
    <row r="187" ht="14.25" customHeight="1" x14ac:dyDescent="0.35"/>
    <row r="188" ht="14.25" customHeight="1" x14ac:dyDescent="0.35"/>
    <row r="189" ht="14.25" customHeight="1" x14ac:dyDescent="0.35"/>
    <row r="190" ht="14.25" customHeight="1" x14ac:dyDescent="0.35"/>
    <row r="191" ht="14.25" customHeight="1" x14ac:dyDescent="0.35"/>
    <row r="192" ht="14.25" customHeight="1" x14ac:dyDescent="0.35"/>
    <row r="193" ht="14.25" customHeight="1" x14ac:dyDescent="0.35"/>
    <row r="194" ht="14.25" customHeight="1" x14ac:dyDescent="0.35"/>
    <row r="195" ht="14.25" customHeight="1" x14ac:dyDescent="0.35"/>
    <row r="196" ht="14.25" customHeight="1" x14ac:dyDescent="0.35"/>
    <row r="197" ht="14.25" customHeight="1" x14ac:dyDescent="0.35"/>
    <row r="198" ht="14.25" customHeight="1" x14ac:dyDescent="0.35"/>
    <row r="199" ht="14.25" customHeight="1" x14ac:dyDescent="0.35"/>
    <row r="200" ht="14.25" customHeight="1" x14ac:dyDescent="0.35"/>
    <row r="201" ht="14.25" customHeight="1" x14ac:dyDescent="0.35"/>
    <row r="202" ht="14.25" customHeight="1" x14ac:dyDescent="0.35"/>
    <row r="203" ht="14.25" customHeight="1" x14ac:dyDescent="0.35"/>
    <row r="204" ht="14.25" customHeight="1" x14ac:dyDescent="0.35"/>
    <row r="205" ht="14.25" customHeight="1" x14ac:dyDescent="0.35"/>
    <row r="206" ht="14.25" customHeight="1" x14ac:dyDescent="0.35"/>
    <row r="207" ht="14.25" customHeight="1" x14ac:dyDescent="0.35"/>
    <row r="208" ht="14.25" customHeight="1" x14ac:dyDescent="0.35"/>
    <row r="209" ht="14.25" customHeight="1" x14ac:dyDescent="0.35"/>
    <row r="210" ht="14.25" customHeight="1" x14ac:dyDescent="0.35"/>
    <row r="211" ht="14.25" customHeight="1" x14ac:dyDescent="0.35"/>
    <row r="212" ht="14.25" customHeight="1" x14ac:dyDescent="0.35"/>
    <row r="213" ht="14.25" customHeight="1" x14ac:dyDescent="0.35"/>
    <row r="214" ht="14.25" customHeight="1" x14ac:dyDescent="0.35"/>
    <row r="215" ht="14.25" customHeight="1" x14ac:dyDescent="0.35"/>
    <row r="216" ht="14.25" customHeight="1" x14ac:dyDescent="0.35"/>
    <row r="217" ht="14.25" customHeight="1" x14ac:dyDescent="0.35"/>
    <row r="218" ht="14.25" customHeight="1" x14ac:dyDescent="0.35"/>
    <row r="219" ht="14.25" customHeight="1" x14ac:dyDescent="0.35"/>
    <row r="220" ht="14.25" customHeight="1" x14ac:dyDescent="0.35"/>
    <row r="221" ht="14.25" customHeight="1" x14ac:dyDescent="0.35"/>
    <row r="222" ht="14.25" customHeight="1" x14ac:dyDescent="0.35"/>
    <row r="223" ht="14.25" customHeight="1" x14ac:dyDescent="0.35"/>
    <row r="224" ht="14.25" customHeight="1" x14ac:dyDescent="0.35"/>
    <row r="225" ht="14.25" customHeight="1" x14ac:dyDescent="0.35"/>
    <row r="226" ht="14.25" customHeight="1" x14ac:dyDescent="0.35"/>
    <row r="227" ht="14.25" customHeight="1" x14ac:dyDescent="0.35"/>
    <row r="228" ht="14.25" customHeight="1" x14ac:dyDescent="0.35"/>
    <row r="229" ht="14.25" customHeight="1" x14ac:dyDescent="0.35"/>
    <row r="230" ht="14.25" customHeight="1" x14ac:dyDescent="0.35"/>
    <row r="231" ht="14.25" customHeight="1" x14ac:dyDescent="0.35"/>
    <row r="232" ht="14.25" customHeight="1" x14ac:dyDescent="0.35"/>
    <row r="233" ht="14.25" customHeight="1" x14ac:dyDescent="0.35"/>
    <row r="234" ht="14.25" customHeight="1" x14ac:dyDescent="0.35"/>
    <row r="235" ht="14.25" customHeight="1" x14ac:dyDescent="0.35"/>
    <row r="236" ht="14.25" customHeight="1" x14ac:dyDescent="0.35"/>
    <row r="237" ht="14.25" customHeight="1" x14ac:dyDescent="0.35"/>
    <row r="238" ht="14.25" customHeight="1" x14ac:dyDescent="0.35"/>
    <row r="239" ht="14.25" customHeight="1" x14ac:dyDescent="0.35"/>
    <row r="240" ht="14.25" customHeight="1" x14ac:dyDescent="0.35"/>
    <row r="241" ht="14.25" customHeight="1" x14ac:dyDescent="0.35"/>
    <row r="242" ht="14.25" customHeight="1" x14ac:dyDescent="0.35"/>
    <row r="243" ht="14.25" customHeight="1" x14ac:dyDescent="0.35"/>
    <row r="244" ht="14.25" customHeight="1" x14ac:dyDescent="0.35"/>
    <row r="245" ht="14.25" customHeight="1" x14ac:dyDescent="0.35"/>
    <row r="246" ht="14.25" customHeight="1" x14ac:dyDescent="0.35"/>
    <row r="247" ht="14.25" customHeight="1" x14ac:dyDescent="0.35"/>
    <row r="248" ht="14.25" customHeight="1" x14ac:dyDescent="0.35"/>
    <row r="249" ht="14.25" customHeight="1" x14ac:dyDescent="0.35"/>
    <row r="250" ht="14.25" customHeight="1" x14ac:dyDescent="0.35"/>
    <row r="251" ht="14.25" customHeight="1" x14ac:dyDescent="0.35"/>
    <row r="252" ht="14.25" customHeight="1" x14ac:dyDescent="0.35"/>
    <row r="253" ht="14.25" customHeight="1" x14ac:dyDescent="0.35"/>
    <row r="254" ht="14.25" customHeight="1" x14ac:dyDescent="0.35"/>
    <row r="255" ht="14.25" customHeight="1" x14ac:dyDescent="0.35"/>
    <row r="256" ht="14.25" customHeight="1" x14ac:dyDescent="0.35"/>
    <row r="257" ht="14.25" customHeight="1" x14ac:dyDescent="0.35"/>
    <row r="258" ht="14.25" customHeight="1" x14ac:dyDescent="0.35"/>
    <row r="259" ht="14.25" customHeight="1" x14ac:dyDescent="0.35"/>
    <row r="260" ht="14.25" customHeight="1" x14ac:dyDescent="0.35"/>
    <row r="261" ht="14.25" customHeight="1" x14ac:dyDescent="0.35"/>
    <row r="262" ht="14.25" customHeight="1" x14ac:dyDescent="0.35"/>
    <row r="263" ht="14.25" customHeight="1" x14ac:dyDescent="0.35"/>
    <row r="264" ht="14.25" customHeight="1" x14ac:dyDescent="0.35"/>
    <row r="265" ht="14.25" customHeight="1" x14ac:dyDescent="0.35"/>
    <row r="266" ht="14.25" customHeight="1" x14ac:dyDescent="0.35"/>
    <row r="267" ht="14.25" customHeight="1" x14ac:dyDescent="0.35"/>
    <row r="268" ht="14.25" customHeight="1" x14ac:dyDescent="0.35"/>
    <row r="269" ht="14.25" customHeight="1" x14ac:dyDescent="0.35"/>
    <row r="270" ht="14.25" customHeight="1" x14ac:dyDescent="0.35"/>
    <row r="271" ht="14.25" customHeight="1" x14ac:dyDescent="0.35"/>
    <row r="272" ht="14.25" customHeight="1" x14ac:dyDescent="0.35"/>
    <row r="273" ht="14.25" customHeight="1" x14ac:dyDescent="0.35"/>
    <row r="274" ht="14.25" customHeight="1" x14ac:dyDescent="0.35"/>
    <row r="275" ht="14.25" customHeight="1" x14ac:dyDescent="0.35"/>
    <row r="276" ht="14.25" customHeight="1" x14ac:dyDescent="0.35"/>
    <row r="277" ht="14.25" customHeight="1" x14ac:dyDescent="0.35"/>
    <row r="278" ht="14.25" customHeight="1" x14ac:dyDescent="0.35"/>
    <row r="279" ht="14.25" customHeight="1" x14ac:dyDescent="0.35"/>
    <row r="280" ht="14.25" customHeight="1" x14ac:dyDescent="0.35"/>
    <row r="281" ht="14.25" customHeight="1" x14ac:dyDescent="0.35"/>
    <row r="282" ht="14.25" customHeight="1" x14ac:dyDescent="0.35"/>
    <row r="283" ht="14.25" customHeight="1" x14ac:dyDescent="0.35"/>
    <row r="284" ht="14.25" customHeight="1" x14ac:dyDescent="0.35"/>
    <row r="285" ht="14.25" customHeight="1" x14ac:dyDescent="0.35"/>
    <row r="286" ht="14.25" customHeight="1" x14ac:dyDescent="0.35"/>
    <row r="287" ht="14.25" customHeight="1" x14ac:dyDescent="0.35"/>
    <row r="288" ht="14.25" customHeight="1" x14ac:dyDescent="0.35"/>
    <row r="289" ht="14.25" customHeight="1" x14ac:dyDescent="0.35"/>
    <row r="290" ht="14.25" customHeight="1" x14ac:dyDescent="0.35"/>
    <row r="291" ht="14.25" customHeight="1" x14ac:dyDescent="0.35"/>
    <row r="292" ht="14.25" customHeight="1" x14ac:dyDescent="0.35"/>
    <row r="293" ht="14.25" customHeight="1" x14ac:dyDescent="0.35"/>
    <row r="294" ht="14.25" customHeight="1" x14ac:dyDescent="0.35"/>
    <row r="295" ht="14.25" customHeight="1" x14ac:dyDescent="0.35"/>
    <row r="296" ht="14.25" customHeight="1" x14ac:dyDescent="0.35"/>
    <row r="297" ht="14.25" customHeight="1" x14ac:dyDescent="0.35"/>
    <row r="298" ht="14.25" customHeight="1" x14ac:dyDescent="0.35"/>
    <row r="299" ht="14.25" customHeight="1" x14ac:dyDescent="0.35"/>
    <row r="300" ht="14.25" customHeight="1" x14ac:dyDescent="0.35"/>
    <row r="301" ht="14.25" customHeight="1" x14ac:dyDescent="0.35"/>
    <row r="302" ht="14.25" customHeight="1" x14ac:dyDescent="0.35"/>
    <row r="303" ht="14.25" customHeight="1" x14ac:dyDescent="0.35"/>
    <row r="304" ht="14.25" customHeight="1" x14ac:dyDescent="0.35"/>
    <row r="305" ht="14.25" customHeight="1" x14ac:dyDescent="0.35"/>
    <row r="306" ht="14.25" customHeight="1" x14ac:dyDescent="0.35"/>
    <row r="307" ht="14.25" customHeight="1" x14ac:dyDescent="0.35"/>
    <row r="308" ht="14.25" customHeight="1" x14ac:dyDescent="0.35"/>
    <row r="309" ht="14.25" customHeight="1" x14ac:dyDescent="0.35"/>
    <row r="310" ht="14.25" customHeight="1" x14ac:dyDescent="0.35"/>
    <row r="311" ht="14.25" customHeight="1" x14ac:dyDescent="0.35"/>
    <row r="312" ht="14.25" customHeight="1" x14ac:dyDescent="0.35"/>
    <row r="313" ht="14.25" customHeight="1" x14ac:dyDescent="0.35"/>
    <row r="314" ht="14.25" customHeight="1" x14ac:dyDescent="0.35"/>
    <row r="315" ht="14.25" customHeight="1" x14ac:dyDescent="0.35"/>
    <row r="316" ht="14.25" customHeight="1" x14ac:dyDescent="0.35"/>
    <row r="317" ht="14.25" customHeight="1" x14ac:dyDescent="0.35"/>
    <row r="318" ht="14.25" customHeight="1" x14ac:dyDescent="0.35"/>
    <row r="319" ht="14.25" customHeight="1" x14ac:dyDescent="0.35"/>
    <row r="320" ht="14.25" customHeight="1" x14ac:dyDescent="0.35"/>
    <row r="321" ht="14.25" customHeight="1" x14ac:dyDescent="0.35"/>
    <row r="322" ht="14.25" customHeight="1" x14ac:dyDescent="0.35"/>
    <row r="323" ht="14.25" customHeight="1" x14ac:dyDescent="0.35"/>
    <row r="324" ht="14.25" customHeight="1" x14ac:dyDescent="0.35"/>
    <row r="325" ht="14.25" customHeight="1" x14ac:dyDescent="0.35"/>
    <row r="326" ht="14.25" customHeight="1" x14ac:dyDescent="0.35"/>
    <row r="327" ht="14.25" customHeight="1" x14ac:dyDescent="0.35"/>
    <row r="328" ht="14.25" customHeight="1" x14ac:dyDescent="0.35"/>
    <row r="329" ht="14.25" customHeight="1" x14ac:dyDescent="0.35"/>
    <row r="330" ht="14.25" customHeight="1" x14ac:dyDescent="0.35"/>
    <row r="331" ht="14.25" customHeight="1" x14ac:dyDescent="0.35"/>
    <row r="332" ht="14.25" customHeight="1" x14ac:dyDescent="0.35"/>
    <row r="333" ht="14.25" customHeight="1" x14ac:dyDescent="0.35"/>
    <row r="334" ht="14.25" customHeight="1" x14ac:dyDescent="0.35"/>
    <row r="335" ht="14.25" customHeight="1" x14ac:dyDescent="0.35"/>
    <row r="336" ht="14.25" customHeight="1" x14ac:dyDescent="0.35"/>
    <row r="337" ht="14.25" customHeight="1" x14ac:dyDescent="0.35"/>
    <row r="338" ht="14.25" customHeight="1" x14ac:dyDescent="0.35"/>
    <row r="339" ht="14.25" customHeight="1" x14ac:dyDescent="0.35"/>
    <row r="340" ht="14.25" customHeight="1" x14ac:dyDescent="0.35"/>
    <row r="341" ht="14.25" customHeight="1" x14ac:dyDescent="0.35"/>
    <row r="342" ht="14.25" customHeight="1" x14ac:dyDescent="0.35"/>
    <row r="343" ht="14.25" customHeight="1" x14ac:dyDescent="0.35"/>
    <row r="344" ht="14.25" customHeight="1" x14ac:dyDescent="0.35"/>
    <row r="345" ht="14.25" customHeight="1" x14ac:dyDescent="0.35"/>
    <row r="346" ht="14.25" customHeight="1" x14ac:dyDescent="0.35"/>
    <row r="347" ht="14.25" customHeight="1" x14ac:dyDescent="0.35"/>
    <row r="348" ht="14.25" customHeight="1" x14ac:dyDescent="0.35"/>
    <row r="349" ht="14.25" customHeight="1" x14ac:dyDescent="0.35"/>
    <row r="350" ht="14.25" customHeight="1" x14ac:dyDescent="0.35"/>
    <row r="351" ht="14.25" customHeight="1" x14ac:dyDescent="0.35"/>
    <row r="352" ht="14.25" customHeight="1" x14ac:dyDescent="0.35"/>
    <row r="353" ht="14.25" customHeight="1" x14ac:dyDescent="0.35"/>
    <row r="354" ht="14.25" customHeight="1" x14ac:dyDescent="0.35"/>
    <row r="355" ht="14.25" customHeight="1" x14ac:dyDescent="0.35"/>
    <row r="356" ht="14.25" customHeight="1" x14ac:dyDescent="0.35"/>
    <row r="357" ht="14.25" customHeight="1" x14ac:dyDescent="0.35"/>
    <row r="358" ht="14.25" customHeight="1" x14ac:dyDescent="0.35"/>
    <row r="359" ht="14.25" customHeight="1" x14ac:dyDescent="0.35"/>
    <row r="360" ht="14.25" customHeight="1" x14ac:dyDescent="0.35"/>
    <row r="361" ht="14.25" customHeight="1" x14ac:dyDescent="0.35"/>
    <row r="362" ht="14.25" customHeight="1" x14ac:dyDescent="0.35"/>
    <row r="363" ht="14.25" customHeight="1" x14ac:dyDescent="0.35"/>
    <row r="364" ht="14.25" customHeight="1" x14ac:dyDescent="0.35"/>
    <row r="365" ht="14.25" customHeight="1" x14ac:dyDescent="0.35"/>
    <row r="366" ht="14.25" customHeight="1" x14ac:dyDescent="0.35"/>
    <row r="367" ht="14.25" customHeight="1" x14ac:dyDescent="0.35"/>
    <row r="368" ht="14.25" customHeight="1" x14ac:dyDescent="0.35"/>
    <row r="369" ht="14.25" customHeight="1" x14ac:dyDescent="0.35"/>
    <row r="370" ht="14.25" customHeight="1" x14ac:dyDescent="0.35"/>
    <row r="371" ht="14.25" customHeight="1" x14ac:dyDescent="0.35"/>
    <row r="372" ht="14.25" customHeight="1" x14ac:dyDescent="0.35"/>
    <row r="373" ht="14.25" customHeight="1" x14ac:dyDescent="0.35"/>
    <row r="374" ht="14.25" customHeight="1" x14ac:dyDescent="0.35"/>
    <row r="375" ht="14.25" customHeight="1" x14ac:dyDescent="0.35"/>
    <row r="376" ht="14.25" customHeight="1" x14ac:dyDescent="0.35"/>
    <row r="377" ht="14.25" customHeight="1" x14ac:dyDescent="0.35"/>
    <row r="378" ht="14.25" customHeight="1" x14ac:dyDescent="0.35"/>
    <row r="379" ht="14.25" customHeight="1" x14ac:dyDescent="0.35"/>
    <row r="380" ht="14.25" customHeight="1" x14ac:dyDescent="0.35"/>
    <row r="381" ht="14.25" customHeight="1" x14ac:dyDescent="0.35"/>
    <row r="382" ht="14.25" customHeight="1" x14ac:dyDescent="0.35"/>
    <row r="383" ht="14.25" customHeight="1" x14ac:dyDescent="0.35"/>
    <row r="384" ht="14.25" customHeight="1" x14ac:dyDescent="0.35"/>
    <row r="385" ht="14.25" customHeight="1" x14ac:dyDescent="0.35"/>
    <row r="386" ht="14.25" customHeight="1" x14ac:dyDescent="0.35"/>
    <row r="387" ht="14.25" customHeight="1" x14ac:dyDescent="0.35"/>
    <row r="388" ht="14.25" customHeight="1" x14ac:dyDescent="0.35"/>
    <row r="389" ht="14.25" customHeight="1" x14ac:dyDescent="0.35"/>
    <row r="390" ht="14.25" customHeight="1" x14ac:dyDescent="0.35"/>
    <row r="391" ht="14.25" customHeight="1" x14ac:dyDescent="0.35"/>
    <row r="392" ht="14.25" customHeight="1" x14ac:dyDescent="0.35"/>
    <row r="393" ht="14.25" customHeight="1" x14ac:dyDescent="0.35"/>
    <row r="394" ht="14.25" customHeight="1" x14ac:dyDescent="0.35"/>
    <row r="395" ht="14.25" customHeight="1" x14ac:dyDescent="0.35"/>
    <row r="396" ht="14.25" customHeight="1" x14ac:dyDescent="0.35"/>
    <row r="397" ht="14.25" customHeight="1" x14ac:dyDescent="0.35"/>
    <row r="398" ht="14.25" customHeight="1" x14ac:dyDescent="0.35"/>
    <row r="399" ht="14.25" customHeight="1" x14ac:dyDescent="0.35"/>
    <row r="400" ht="14.25" customHeight="1" x14ac:dyDescent="0.35"/>
    <row r="401" ht="14.25" customHeight="1" x14ac:dyDescent="0.35"/>
    <row r="402" ht="14.25" customHeight="1" x14ac:dyDescent="0.35"/>
    <row r="403" ht="14.25" customHeight="1" x14ac:dyDescent="0.35"/>
    <row r="404" ht="14.25" customHeight="1" x14ac:dyDescent="0.35"/>
    <row r="405" ht="14.25" customHeight="1" x14ac:dyDescent="0.35"/>
    <row r="406" ht="14.25" customHeight="1" x14ac:dyDescent="0.35"/>
    <row r="407" ht="14.25" customHeight="1" x14ac:dyDescent="0.35"/>
    <row r="408" ht="14.25" customHeight="1" x14ac:dyDescent="0.35"/>
    <row r="409" ht="14.25" customHeight="1" x14ac:dyDescent="0.35"/>
    <row r="410" ht="14.25" customHeight="1" x14ac:dyDescent="0.35"/>
    <row r="411" ht="14.25" customHeight="1" x14ac:dyDescent="0.35"/>
    <row r="412" ht="14.25" customHeight="1" x14ac:dyDescent="0.35"/>
    <row r="413" ht="14.25" customHeight="1" x14ac:dyDescent="0.35"/>
    <row r="414" ht="14.25" customHeight="1" x14ac:dyDescent="0.35"/>
    <row r="415" ht="14.25" customHeight="1" x14ac:dyDescent="0.35"/>
    <row r="416" ht="14.25" customHeight="1" x14ac:dyDescent="0.35"/>
    <row r="417" ht="14.25" customHeight="1" x14ac:dyDescent="0.35"/>
    <row r="418" ht="14.25" customHeight="1" x14ac:dyDescent="0.35"/>
    <row r="419" ht="14.25" customHeight="1" x14ac:dyDescent="0.35"/>
    <row r="420" ht="14.25" customHeight="1" x14ac:dyDescent="0.35"/>
    <row r="421" ht="14.25" customHeight="1" x14ac:dyDescent="0.35"/>
    <row r="422" ht="14.25" customHeight="1" x14ac:dyDescent="0.35"/>
    <row r="423" ht="14.25" customHeight="1" x14ac:dyDescent="0.35"/>
    <row r="424" ht="14.25" customHeight="1" x14ac:dyDescent="0.35"/>
    <row r="425" ht="14.25" customHeight="1" x14ac:dyDescent="0.35"/>
    <row r="426" ht="14.25" customHeight="1" x14ac:dyDescent="0.35"/>
    <row r="427" ht="14.25" customHeight="1" x14ac:dyDescent="0.35"/>
    <row r="428" ht="14.25" customHeight="1" x14ac:dyDescent="0.35"/>
    <row r="429" ht="14.25" customHeight="1" x14ac:dyDescent="0.35"/>
    <row r="430" ht="14.25" customHeight="1" x14ac:dyDescent="0.35"/>
    <row r="431" ht="14.25" customHeight="1" x14ac:dyDescent="0.35"/>
    <row r="432" ht="14.25" customHeight="1" x14ac:dyDescent="0.35"/>
    <row r="433" ht="14.25" customHeight="1" x14ac:dyDescent="0.35"/>
    <row r="434" ht="14.25" customHeight="1" x14ac:dyDescent="0.35"/>
    <row r="435" ht="14.25" customHeight="1" x14ac:dyDescent="0.35"/>
    <row r="436" ht="14.25" customHeight="1" x14ac:dyDescent="0.35"/>
    <row r="437" ht="14.25" customHeight="1" x14ac:dyDescent="0.35"/>
    <row r="438" ht="14.25" customHeight="1" x14ac:dyDescent="0.35"/>
    <row r="439" ht="14.25" customHeight="1" x14ac:dyDescent="0.35"/>
    <row r="440" ht="14.25" customHeight="1" x14ac:dyDescent="0.35"/>
    <row r="441" ht="14.25" customHeight="1" x14ac:dyDescent="0.35"/>
    <row r="442" ht="14.25" customHeight="1" x14ac:dyDescent="0.35"/>
    <row r="443" ht="14.25" customHeight="1" x14ac:dyDescent="0.35"/>
    <row r="444" ht="14.25" customHeight="1" x14ac:dyDescent="0.35"/>
    <row r="445" ht="14.25" customHeight="1" x14ac:dyDescent="0.35"/>
    <row r="446" ht="14.25" customHeight="1" x14ac:dyDescent="0.35"/>
    <row r="447" ht="14.25" customHeight="1" x14ac:dyDescent="0.35"/>
    <row r="448" ht="14.25" customHeight="1" x14ac:dyDescent="0.35"/>
    <row r="449" ht="14.25" customHeight="1" x14ac:dyDescent="0.35"/>
    <row r="450" ht="14.25" customHeight="1" x14ac:dyDescent="0.35"/>
    <row r="451" ht="14.25" customHeight="1" x14ac:dyDescent="0.35"/>
    <row r="452" ht="14.25" customHeight="1" x14ac:dyDescent="0.35"/>
    <row r="453" ht="14.25" customHeight="1" x14ac:dyDescent="0.35"/>
    <row r="454" ht="14.25" customHeight="1" x14ac:dyDescent="0.35"/>
    <row r="455" ht="14.25" customHeight="1" x14ac:dyDescent="0.35"/>
    <row r="456" ht="14.25" customHeight="1" x14ac:dyDescent="0.35"/>
    <row r="457" ht="14.25" customHeight="1" x14ac:dyDescent="0.35"/>
    <row r="458" ht="14.25" customHeight="1" x14ac:dyDescent="0.35"/>
    <row r="459" ht="14.25" customHeight="1" x14ac:dyDescent="0.35"/>
    <row r="460" ht="14.25" customHeight="1" x14ac:dyDescent="0.35"/>
    <row r="461" ht="14.25" customHeight="1" x14ac:dyDescent="0.35"/>
    <row r="462" ht="14.25" customHeight="1" x14ac:dyDescent="0.35"/>
    <row r="463" ht="14.25" customHeight="1" x14ac:dyDescent="0.35"/>
    <row r="464" ht="14.25" customHeight="1" x14ac:dyDescent="0.35"/>
    <row r="465" ht="14.25" customHeight="1" x14ac:dyDescent="0.35"/>
    <row r="466" ht="14.25" customHeight="1" x14ac:dyDescent="0.35"/>
    <row r="467" ht="14.25" customHeight="1" x14ac:dyDescent="0.35"/>
    <row r="468" ht="14.25" customHeight="1" x14ac:dyDescent="0.35"/>
    <row r="469" ht="14.25" customHeight="1" x14ac:dyDescent="0.35"/>
    <row r="470" ht="14.25" customHeight="1" x14ac:dyDescent="0.35"/>
    <row r="471" ht="14.25" customHeight="1" x14ac:dyDescent="0.35"/>
    <row r="472" ht="14.25" customHeight="1" x14ac:dyDescent="0.35"/>
    <row r="473" ht="14.25" customHeight="1" x14ac:dyDescent="0.35"/>
    <row r="474" ht="14.25" customHeight="1" x14ac:dyDescent="0.35"/>
    <row r="475" ht="14.25" customHeight="1" x14ac:dyDescent="0.35"/>
    <row r="476" ht="14.25" customHeight="1" x14ac:dyDescent="0.35"/>
    <row r="477" ht="14.25" customHeight="1" x14ac:dyDescent="0.35"/>
    <row r="478" ht="14.25" customHeight="1" x14ac:dyDescent="0.35"/>
    <row r="479" ht="14.25" customHeight="1" x14ac:dyDescent="0.35"/>
    <row r="480" ht="14.25" customHeight="1" x14ac:dyDescent="0.35"/>
    <row r="481" ht="14.25" customHeight="1" x14ac:dyDescent="0.35"/>
    <row r="482" ht="14.25" customHeight="1" x14ac:dyDescent="0.35"/>
    <row r="483" ht="14.25" customHeight="1" x14ac:dyDescent="0.35"/>
    <row r="484" ht="14.25" customHeight="1" x14ac:dyDescent="0.35"/>
    <row r="485" ht="14.25" customHeight="1" x14ac:dyDescent="0.35"/>
    <row r="486" ht="14.25" customHeight="1" x14ac:dyDescent="0.35"/>
    <row r="487" ht="14.25" customHeight="1" x14ac:dyDescent="0.35"/>
    <row r="488" ht="14.25" customHeight="1" x14ac:dyDescent="0.35"/>
    <row r="489" ht="14.25" customHeight="1" x14ac:dyDescent="0.35"/>
    <row r="490" ht="14.25" customHeight="1" x14ac:dyDescent="0.35"/>
    <row r="491" ht="14.25" customHeight="1" x14ac:dyDescent="0.35"/>
    <row r="492" ht="14.25" customHeight="1" x14ac:dyDescent="0.35"/>
    <row r="493" ht="14.25" customHeight="1" x14ac:dyDescent="0.35"/>
    <row r="494" ht="14.25" customHeight="1" x14ac:dyDescent="0.35"/>
    <row r="495" ht="14.25" customHeight="1" x14ac:dyDescent="0.35"/>
    <row r="496" ht="14.25" customHeight="1" x14ac:dyDescent="0.35"/>
    <row r="497" ht="14.25" customHeight="1" x14ac:dyDescent="0.35"/>
    <row r="498" ht="14.25" customHeight="1" x14ac:dyDescent="0.35"/>
    <row r="499" ht="14.25" customHeight="1" x14ac:dyDescent="0.35"/>
    <row r="500" ht="14.25" customHeight="1" x14ac:dyDescent="0.35"/>
    <row r="501" ht="14.25" customHeight="1" x14ac:dyDescent="0.35"/>
    <row r="502" ht="14.25" customHeight="1" x14ac:dyDescent="0.35"/>
    <row r="503" ht="14.25" customHeight="1" x14ac:dyDescent="0.35"/>
    <row r="504" ht="14.25" customHeight="1" x14ac:dyDescent="0.35"/>
    <row r="505" ht="14.25" customHeight="1" x14ac:dyDescent="0.35"/>
    <row r="506" ht="14.25" customHeight="1" x14ac:dyDescent="0.35"/>
    <row r="507" ht="14.25" customHeight="1" x14ac:dyDescent="0.35"/>
    <row r="508" ht="14.25" customHeight="1" x14ac:dyDescent="0.35"/>
    <row r="509" ht="14.25" customHeight="1" x14ac:dyDescent="0.35"/>
    <row r="510" ht="14.25" customHeight="1" x14ac:dyDescent="0.35"/>
    <row r="511" ht="14.25" customHeight="1" x14ac:dyDescent="0.35"/>
    <row r="512" ht="14.25" customHeight="1" x14ac:dyDescent="0.35"/>
    <row r="513" ht="14.25" customHeight="1" x14ac:dyDescent="0.35"/>
    <row r="514" ht="14.25" customHeight="1" x14ac:dyDescent="0.35"/>
    <row r="515" ht="14.25" customHeight="1" x14ac:dyDescent="0.35"/>
    <row r="516" ht="14.25" customHeight="1" x14ac:dyDescent="0.35"/>
    <row r="517" ht="14.25" customHeight="1" x14ac:dyDescent="0.35"/>
    <row r="518" ht="14.25" customHeight="1" x14ac:dyDescent="0.35"/>
    <row r="519" ht="14.25" customHeight="1" x14ac:dyDescent="0.35"/>
    <row r="520" ht="14.25" customHeight="1" x14ac:dyDescent="0.35"/>
    <row r="521" ht="14.25" customHeight="1" x14ac:dyDescent="0.35"/>
    <row r="522" ht="14.25" customHeight="1" x14ac:dyDescent="0.35"/>
    <row r="523" ht="14.25" customHeight="1" x14ac:dyDescent="0.35"/>
    <row r="524" ht="14.25" customHeight="1" x14ac:dyDescent="0.35"/>
    <row r="525" ht="14.25" customHeight="1" x14ac:dyDescent="0.35"/>
    <row r="526" ht="14.25" customHeight="1" x14ac:dyDescent="0.35"/>
    <row r="527" ht="14.25" customHeight="1" x14ac:dyDescent="0.35"/>
    <row r="528" ht="14.25" customHeight="1" x14ac:dyDescent="0.35"/>
    <row r="529" ht="14.25" customHeight="1" x14ac:dyDescent="0.35"/>
    <row r="530" ht="14.25" customHeight="1" x14ac:dyDescent="0.35"/>
    <row r="531" ht="14.25" customHeight="1" x14ac:dyDescent="0.35"/>
    <row r="532" ht="14.25" customHeight="1" x14ac:dyDescent="0.35"/>
    <row r="533" ht="14.25" customHeight="1" x14ac:dyDescent="0.35"/>
    <row r="534" ht="14.25" customHeight="1" x14ac:dyDescent="0.35"/>
    <row r="535" ht="14.25" customHeight="1" x14ac:dyDescent="0.35"/>
    <row r="536" ht="14.25" customHeight="1" x14ac:dyDescent="0.35"/>
    <row r="537" ht="14.25" customHeight="1" x14ac:dyDescent="0.35"/>
    <row r="538" ht="14.25" customHeight="1" x14ac:dyDescent="0.35"/>
    <row r="539" ht="14.25" customHeight="1" x14ac:dyDescent="0.35"/>
    <row r="540" ht="14.25" customHeight="1" x14ac:dyDescent="0.35"/>
    <row r="541" ht="14.25" customHeight="1" x14ac:dyDescent="0.35"/>
    <row r="542" ht="14.25" customHeight="1" x14ac:dyDescent="0.35"/>
    <row r="543" ht="14.25" customHeight="1" x14ac:dyDescent="0.35"/>
    <row r="544" ht="14.25" customHeight="1" x14ac:dyDescent="0.35"/>
    <row r="545" ht="14.25" customHeight="1" x14ac:dyDescent="0.35"/>
    <row r="546" ht="14.25" customHeight="1" x14ac:dyDescent="0.35"/>
    <row r="547" ht="14.25" customHeight="1" x14ac:dyDescent="0.35"/>
    <row r="548" ht="14.25" customHeight="1" x14ac:dyDescent="0.35"/>
    <row r="549" ht="14.25" customHeight="1" x14ac:dyDescent="0.35"/>
    <row r="550" ht="14.25" customHeight="1" x14ac:dyDescent="0.35"/>
    <row r="551" ht="14.25" customHeight="1" x14ac:dyDescent="0.35"/>
    <row r="552" ht="14.25" customHeight="1" x14ac:dyDescent="0.35"/>
    <row r="553" ht="14.25" customHeight="1" x14ac:dyDescent="0.35"/>
    <row r="554" ht="14.25" customHeight="1" x14ac:dyDescent="0.35"/>
    <row r="555" ht="14.25" customHeight="1" x14ac:dyDescent="0.35"/>
    <row r="556" ht="14.25" customHeight="1" x14ac:dyDescent="0.35"/>
    <row r="557" ht="14.25" customHeight="1" x14ac:dyDescent="0.35"/>
    <row r="558" ht="14.25" customHeight="1" x14ac:dyDescent="0.35"/>
    <row r="559" ht="14.25" customHeight="1" x14ac:dyDescent="0.35"/>
    <row r="560" ht="14.25" customHeight="1" x14ac:dyDescent="0.35"/>
    <row r="561" ht="14.25" customHeight="1" x14ac:dyDescent="0.35"/>
    <row r="562" ht="14.25" customHeight="1" x14ac:dyDescent="0.35"/>
    <row r="563" ht="14.25" customHeight="1" x14ac:dyDescent="0.35"/>
    <row r="564" ht="14.25" customHeight="1" x14ac:dyDescent="0.35"/>
    <row r="565" ht="14.25" customHeight="1" x14ac:dyDescent="0.35"/>
    <row r="566" ht="14.25" customHeight="1" x14ac:dyDescent="0.35"/>
    <row r="567" ht="14.25" customHeight="1" x14ac:dyDescent="0.35"/>
    <row r="568" ht="14.25" customHeight="1" x14ac:dyDescent="0.35"/>
    <row r="569" ht="14.25" customHeight="1" x14ac:dyDescent="0.35"/>
    <row r="570" ht="14.25" customHeight="1" x14ac:dyDescent="0.35"/>
    <row r="571" ht="14.25" customHeight="1" x14ac:dyDescent="0.35"/>
    <row r="572" ht="14.25" customHeight="1" x14ac:dyDescent="0.35"/>
    <row r="573" ht="14.25" customHeight="1" x14ac:dyDescent="0.35"/>
    <row r="574" ht="14.25" customHeight="1" x14ac:dyDescent="0.35"/>
    <row r="575" ht="14.25" customHeight="1" x14ac:dyDescent="0.35"/>
    <row r="576" ht="14.25" customHeight="1" x14ac:dyDescent="0.35"/>
    <row r="577" ht="14.25" customHeight="1" x14ac:dyDescent="0.35"/>
    <row r="578" ht="14.25" customHeight="1" x14ac:dyDescent="0.35"/>
    <row r="579" ht="14.25" customHeight="1" x14ac:dyDescent="0.35"/>
    <row r="580" ht="14.25" customHeight="1" x14ac:dyDescent="0.35"/>
    <row r="581" ht="14.25" customHeight="1" x14ac:dyDescent="0.35"/>
    <row r="582" ht="14.25" customHeight="1" x14ac:dyDescent="0.35"/>
    <row r="583" ht="14.25" customHeight="1" x14ac:dyDescent="0.35"/>
    <row r="584" ht="14.25" customHeight="1" x14ac:dyDescent="0.35"/>
    <row r="585" ht="14.25" customHeight="1" x14ac:dyDescent="0.35"/>
    <row r="586" ht="14.25" customHeight="1" x14ac:dyDescent="0.35"/>
    <row r="587" ht="14.25" customHeight="1" x14ac:dyDescent="0.35"/>
    <row r="588" ht="14.25" customHeight="1" x14ac:dyDescent="0.35"/>
    <row r="589" ht="14.25" customHeight="1" x14ac:dyDescent="0.35"/>
    <row r="590" ht="14.25" customHeight="1" x14ac:dyDescent="0.35"/>
    <row r="591" ht="14.25" customHeight="1" x14ac:dyDescent="0.35"/>
    <row r="592" ht="14.25" customHeight="1" x14ac:dyDescent="0.35"/>
    <row r="593" ht="14.25" customHeight="1" x14ac:dyDescent="0.35"/>
    <row r="594" ht="14.25" customHeight="1" x14ac:dyDescent="0.35"/>
    <row r="595" ht="14.25" customHeight="1" x14ac:dyDescent="0.35"/>
    <row r="596" ht="14.25" customHeight="1" x14ac:dyDescent="0.35"/>
    <row r="597" ht="14.25" customHeight="1" x14ac:dyDescent="0.35"/>
    <row r="598" ht="14.25" customHeight="1" x14ac:dyDescent="0.35"/>
    <row r="599" ht="14.25" customHeight="1" x14ac:dyDescent="0.35"/>
    <row r="600" ht="14.25" customHeight="1" x14ac:dyDescent="0.35"/>
    <row r="601" ht="14.25" customHeight="1" x14ac:dyDescent="0.35"/>
    <row r="602" ht="14.25" customHeight="1" x14ac:dyDescent="0.35"/>
    <row r="603" ht="14.25" customHeight="1" x14ac:dyDescent="0.35"/>
    <row r="604" ht="14.25" customHeight="1" x14ac:dyDescent="0.35"/>
    <row r="605" ht="14.25" customHeight="1" x14ac:dyDescent="0.35"/>
    <row r="606" ht="14.25" customHeight="1" x14ac:dyDescent="0.35"/>
    <row r="607" ht="14.25" customHeight="1" x14ac:dyDescent="0.35"/>
    <row r="608" ht="14.25" customHeight="1" x14ac:dyDescent="0.35"/>
    <row r="609" ht="14.25" customHeight="1" x14ac:dyDescent="0.35"/>
    <row r="610" ht="14.25" customHeight="1" x14ac:dyDescent="0.35"/>
    <row r="611" ht="14.25" customHeight="1" x14ac:dyDescent="0.35"/>
    <row r="612" ht="14.25" customHeight="1" x14ac:dyDescent="0.35"/>
    <row r="613" ht="14.25" customHeight="1" x14ac:dyDescent="0.35"/>
    <row r="614" ht="14.25" customHeight="1" x14ac:dyDescent="0.35"/>
    <row r="615" ht="14.25" customHeight="1" x14ac:dyDescent="0.35"/>
    <row r="616" ht="14.25" customHeight="1" x14ac:dyDescent="0.35"/>
    <row r="617" ht="14.25" customHeight="1" x14ac:dyDescent="0.35"/>
    <row r="618" ht="14.25" customHeight="1" x14ac:dyDescent="0.35"/>
    <row r="619" ht="14.25" customHeight="1" x14ac:dyDescent="0.35"/>
    <row r="620" ht="14.25" customHeight="1" x14ac:dyDescent="0.35"/>
    <row r="621" ht="14.25" customHeight="1" x14ac:dyDescent="0.35"/>
    <row r="622" ht="14.25" customHeight="1" x14ac:dyDescent="0.35"/>
    <row r="623" ht="14.25" customHeight="1" x14ac:dyDescent="0.35"/>
    <row r="624" ht="14.25" customHeight="1" x14ac:dyDescent="0.35"/>
    <row r="625" ht="14.25" customHeight="1" x14ac:dyDescent="0.35"/>
    <row r="626" ht="14.25" customHeight="1" x14ac:dyDescent="0.35"/>
    <row r="627" ht="14.25" customHeight="1" x14ac:dyDescent="0.35"/>
    <row r="628" ht="14.25" customHeight="1" x14ac:dyDescent="0.35"/>
    <row r="629" ht="14.25" customHeight="1" x14ac:dyDescent="0.35"/>
    <row r="630" ht="14.25" customHeight="1" x14ac:dyDescent="0.35"/>
    <row r="631" ht="14.25" customHeight="1" x14ac:dyDescent="0.35"/>
    <row r="632" ht="14.25" customHeight="1" x14ac:dyDescent="0.35"/>
    <row r="633" ht="14.25" customHeight="1" x14ac:dyDescent="0.35"/>
    <row r="634" ht="14.25" customHeight="1" x14ac:dyDescent="0.35"/>
    <row r="635" ht="14.25" customHeight="1" x14ac:dyDescent="0.35"/>
    <row r="636" ht="14.25" customHeight="1" x14ac:dyDescent="0.35"/>
    <row r="637" ht="14.25" customHeight="1" x14ac:dyDescent="0.35"/>
    <row r="638" ht="14.25" customHeight="1" x14ac:dyDescent="0.35"/>
    <row r="639" ht="14.25" customHeight="1" x14ac:dyDescent="0.35"/>
    <row r="640" ht="14.25" customHeight="1" x14ac:dyDescent="0.35"/>
    <row r="641" ht="14.25" customHeight="1" x14ac:dyDescent="0.35"/>
    <row r="642" ht="14.25" customHeight="1" x14ac:dyDescent="0.35"/>
    <row r="643" ht="14.25" customHeight="1" x14ac:dyDescent="0.35"/>
    <row r="644" ht="14.25" customHeight="1" x14ac:dyDescent="0.35"/>
    <row r="645" ht="14.25" customHeight="1" x14ac:dyDescent="0.35"/>
    <row r="646" ht="14.25" customHeight="1" x14ac:dyDescent="0.35"/>
    <row r="647" ht="14.25" customHeight="1" x14ac:dyDescent="0.35"/>
    <row r="648" ht="14.25" customHeight="1" x14ac:dyDescent="0.35"/>
    <row r="649" ht="14.25" customHeight="1" x14ac:dyDescent="0.35"/>
    <row r="650" ht="14.25" customHeight="1" x14ac:dyDescent="0.35"/>
    <row r="651" ht="14.25" customHeight="1" x14ac:dyDescent="0.35"/>
    <row r="652" ht="14.25" customHeight="1" x14ac:dyDescent="0.35"/>
    <row r="653" ht="14.25" customHeight="1" x14ac:dyDescent="0.35"/>
    <row r="654" ht="14.25" customHeight="1" x14ac:dyDescent="0.35"/>
    <row r="655" ht="14.25" customHeight="1" x14ac:dyDescent="0.35"/>
    <row r="656" ht="14.25" customHeight="1" x14ac:dyDescent="0.35"/>
    <row r="657" ht="14.25" customHeight="1" x14ac:dyDescent="0.35"/>
    <row r="658" ht="14.25" customHeight="1" x14ac:dyDescent="0.35"/>
    <row r="659" ht="14.25" customHeight="1" x14ac:dyDescent="0.35"/>
    <row r="660" ht="14.25" customHeight="1" x14ac:dyDescent="0.35"/>
    <row r="661" ht="14.25" customHeight="1" x14ac:dyDescent="0.35"/>
    <row r="662" ht="14.25" customHeight="1" x14ac:dyDescent="0.35"/>
    <row r="663" ht="14.25" customHeight="1" x14ac:dyDescent="0.35"/>
    <row r="664" ht="14.25" customHeight="1" x14ac:dyDescent="0.35"/>
    <row r="665" ht="14.25" customHeight="1" x14ac:dyDescent="0.35"/>
    <row r="666" ht="14.25" customHeight="1" x14ac:dyDescent="0.35"/>
    <row r="667" ht="14.25" customHeight="1" x14ac:dyDescent="0.35"/>
    <row r="668" ht="14.25" customHeight="1" x14ac:dyDescent="0.35"/>
    <row r="669" ht="14.25" customHeight="1" x14ac:dyDescent="0.35"/>
    <row r="670" ht="14.25" customHeight="1" x14ac:dyDescent="0.35"/>
    <row r="671" ht="14.25" customHeight="1" x14ac:dyDescent="0.35"/>
    <row r="672" ht="14.25" customHeight="1" x14ac:dyDescent="0.35"/>
    <row r="673" ht="14.25" customHeight="1" x14ac:dyDescent="0.35"/>
    <row r="674" ht="14.25" customHeight="1" x14ac:dyDescent="0.35"/>
    <row r="675" ht="14.25" customHeight="1" x14ac:dyDescent="0.35"/>
    <row r="676" ht="14.25" customHeight="1" x14ac:dyDescent="0.35"/>
    <row r="677" ht="14.25" customHeight="1" x14ac:dyDescent="0.35"/>
    <row r="678" ht="14.25" customHeight="1" x14ac:dyDescent="0.35"/>
    <row r="679" ht="14.25" customHeight="1" x14ac:dyDescent="0.35"/>
    <row r="680" ht="14.25" customHeight="1" x14ac:dyDescent="0.35"/>
    <row r="681" ht="14.25" customHeight="1" x14ac:dyDescent="0.35"/>
    <row r="682" ht="14.25" customHeight="1" x14ac:dyDescent="0.35"/>
    <row r="683" ht="14.25" customHeight="1" x14ac:dyDescent="0.35"/>
    <row r="684" ht="14.25" customHeight="1" x14ac:dyDescent="0.35"/>
    <row r="685" ht="14.25" customHeight="1" x14ac:dyDescent="0.35"/>
    <row r="686" ht="14.25" customHeight="1" x14ac:dyDescent="0.35"/>
    <row r="687" ht="14.25" customHeight="1" x14ac:dyDescent="0.35"/>
    <row r="688" ht="14.25" customHeight="1" x14ac:dyDescent="0.35"/>
    <row r="689" ht="14.25" customHeight="1" x14ac:dyDescent="0.35"/>
    <row r="690" ht="14.25" customHeight="1" x14ac:dyDescent="0.35"/>
    <row r="691" ht="14.25" customHeight="1" x14ac:dyDescent="0.35"/>
    <row r="692" ht="14.25" customHeight="1" x14ac:dyDescent="0.35"/>
    <row r="693" ht="14.25" customHeight="1" x14ac:dyDescent="0.35"/>
    <row r="694" ht="14.25" customHeight="1" x14ac:dyDescent="0.35"/>
    <row r="695" ht="14.25" customHeight="1" x14ac:dyDescent="0.35"/>
    <row r="696" ht="14.25" customHeight="1" x14ac:dyDescent="0.35"/>
    <row r="697" ht="14.25" customHeight="1" x14ac:dyDescent="0.35"/>
    <row r="698" ht="14.25" customHeight="1" x14ac:dyDescent="0.35"/>
    <row r="699" ht="14.25" customHeight="1" x14ac:dyDescent="0.35"/>
    <row r="700" ht="14.25" customHeight="1" x14ac:dyDescent="0.35"/>
    <row r="701" ht="14.25" customHeight="1" x14ac:dyDescent="0.35"/>
    <row r="702" ht="14.25" customHeight="1" x14ac:dyDescent="0.35"/>
    <row r="703" ht="14.25" customHeight="1" x14ac:dyDescent="0.35"/>
    <row r="704" ht="14.25" customHeight="1" x14ac:dyDescent="0.35"/>
    <row r="705" ht="14.25" customHeight="1" x14ac:dyDescent="0.35"/>
    <row r="706" ht="14.25" customHeight="1" x14ac:dyDescent="0.35"/>
    <row r="707" ht="14.25" customHeight="1" x14ac:dyDescent="0.35"/>
    <row r="708" ht="14.25" customHeight="1" x14ac:dyDescent="0.35"/>
    <row r="709" ht="14.25" customHeight="1" x14ac:dyDescent="0.35"/>
    <row r="710" ht="14.25" customHeight="1" x14ac:dyDescent="0.35"/>
    <row r="711" ht="14.25" customHeight="1" x14ac:dyDescent="0.35"/>
    <row r="712" ht="14.25" customHeight="1" x14ac:dyDescent="0.35"/>
    <row r="713" ht="14.25" customHeight="1" x14ac:dyDescent="0.35"/>
    <row r="714" ht="14.25" customHeight="1" x14ac:dyDescent="0.35"/>
    <row r="715" ht="14.25" customHeight="1" x14ac:dyDescent="0.35"/>
    <row r="716" ht="14.25" customHeight="1" x14ac:dyDescent="0.35"/>
    <row r="717" ht="14.25" customHeight="1" x14ac:dyDescent="0.35"/>
    <row r="718" ht="14.25" customHeight="1" x14ac:dyDescent="0.35"/>
    <row r="719" ht="14.25" customHeight="1" x14ac:dyDescent="0.35"/>
    <row r="720" ht="14.25" customHeight="1" x14ac:dyDescent="0.35"/>
    <row r="721" ht="14.25" customHeight="1" x14ac:dyDescent="0.35"/>
    <row r="722" ht="14.25" customHeight="1" x14ac:dyDescent="0.35"/>
    <row r="723" ht="14.25" customHeight="1" x14ac:dyDescent="0.35"/>
    <row r="724" ht="14.25" customHeight="1" x14ac:dyDescent="0.35"/>
    <row r="725" ht="14.25" customHeight="1" x14ac:dyDescent="0.35"/>
    <row r="726" ht="14.25" customHeight="1" x14ac:dyDescent="0.35"/>
    <row r="727" ht="14.25" customHeight="1" x14ac:dyDescent="0.35"/>
    <row r="728" ht="14.25" customHeight="1" x14ac:dyDescent="0.35"/>
    <row r="729" ht="14.25" customHeight="1" x14ac:dyDescent="0.35"/>
    <row r="730" ht="14.25" customHeight="1" x14ac:dyDescent="0.35"/>
    <row r="731" ht="14.25" customHeight="1" x14ac:dyDescent="0.35"/>
    <row r="732" ht="14.25" customHeight="1" x14ac:dyDescent="0.35"/>
    <row r="733" ht="14.25" customHeight="1" x14ac:dyDescent="0.35"/>
    <row r="734" ht="14.25" customHeight="1" x14ac:dyDescent="0.35"/>
    <row r="735" ht="14.25" customHeight="1" x14ac:dyDescent="0.35"/>
    <row r="736" ht="14.25" customHeight="1" x14ac:dyDescent="0.35"/>
    <row r="737" ht="14.25" customHeight="1" x14ac:dyDescent="0.35"/>
    <row r="738" ht="14.25" customHeight="1" x14ac:dyDescent="0.35"/>
    <row r="739" ht="14.25" customHeight="1" x14ac:dyDescent="0.35"/>
    <row r="740" ht="14.25" customHeight="1" x14ac:dyDescent="0.35"/>
    <row r="741" ht="14.25" customHeight="1" x14ac:dyDescent="0.35"/>
    <row r="742" ht="14.25" customHeight="1" x14ac:dyDescent="0.35"/>
    <row r="743" ht="14.25" customHeight="1" x14ac:dyDescent="0.35"/>
    <row r="744" ht="14.25" customHeight="1" x14ac:dyDescent="0.35"/>
    <row r="745" ht="14.25" customHeight="1" x14ac:dyDescent="0.35"/>
    <row r="746" ht="14.25" customHeight="1" x14ac:dyDescent="0.35"/>
    <row r="747" ht="14.25" customHeight="1" x14ac:dyDescent="0.35"/>
    <row r="748" ht="14.25" customHeight="1" x14ac:dyDescent="0.35"/>
    <row r="749" ht="14.25" customHeight="1" x14ac:dyDescent="0.35"/>
    <row r="750" ht="14.25" customHeight="1" x14ac:dyDescent="0.35"/>
    <row r="751" ht="14.25" customHeight="1" x14ac:dyDescent="0.35"/>
    <row r="752" ht="14.25" customHeight="1" x14ac:dyDescent="0.35"/>
    <row r="753" ht="14.25" customHeight="1" x14ac:dyDescent="0.35"/>
    <row r="754" ht="14.25" customHeight="1" x14ac:dyDescent="0.35"/>
    <row r="755" ht="14.25" customHeight="1" x14ac:dyDescent="0.35"/>
    <row r="756" ht="14.25" customHeight="1" x14ac:dyDescent="0.35"/>
    <row r="757" ht="14.25" customHeight="1" x14ac:dyDescent="0.35"/>
    <row r="758" ht="14.25" customHeight="1" x14ac:dyDescent="0.35"/>
    <row r="759" ht="14.25" customHeight="1" x14ac:dyDescent="0.35"/>
    <row r="760" ht="14.25" customHeight="1" x14ac:dyDescent="0.35"/>
    <row r="761" ht="14.25" customHeight="1" x14ac:dyDescent="0.35"/>
    <row r="762" ht="14.25" customHeight="1" x14ac:dyDescent="0.35"/>
    <row r="763" ht="14.25" customHeight="1" x14ac:dyDescent="0.35"/>
    <row r="764" ht="14.25" customHeight="1" x14ac:dyDescent="0.35"/>
    <row r="765" ht="14.25" customHeight="1" x14ac:dyDescent="0.35"/>
    <row r="766" ht="14.25" customHeight="1" x14ac:dyDescent="0.35"/>
    <row r="767" ht="14.25" customHeight="1" x14ac:dyDescent="0.35"/>
    <row r="768" ht="14.25" customHeight="1" x14ac:dyDescent="0.35"/>
    <row r="769" ht="14.25" customHeight="1" x14ac:dyDescent="0.35"/>
    <row r="770" ht="14.25" customHeight="1" x14ac:dyDescent="0.35"/>
    <row r="771" ht="14.25" customHeight="1" x14ac:dyDescent="0.35"/>
    <row r="772" ht="14.25" customHeight="1" x14ac:dyDescent="0.35"/>
    <row r="773" ht="14.25" customHeight="1" x14ac:dyDescent="0.35"/>
    <row r="774" ht="14.25" customHeight="1" x14ac:dyDescent="0.35"/>
    <row r="775" ht="14.25" customHeight="1" x14ac:dyDescent="0.35"/>
    <row r="776" ht="14.25" customHeight="1" x14ac:dyDescent="0.35"/>
    <row r="777" ht="14.25" customHeight="1" x14ac:dyDescent="0.35"/>
    <row r="778" ht="14.25" customHeight="1" x14ac:dyDescent="0.35"/>
    <row r="779" ht="14.25" customHeight="1" x14ac:dyDescent="0.35"/>
    <row r="780" ht="14.25" customHeight="1" x14ac:dyDescent="0.35"/>
    <row r="781" ht="14.25" customHeight="1" x14ac:dyDescent="0.35"/>
    <row r="782" ht="14.25" customHeight="1" x14ac:dyDescent="0.35"/>
    <row r="783" ht="14.25" customHeight="1" x14ac:dyDescent="0.35"/>
    <row r="784" ht="14.25" customHeight="1" x14ac:dyDescent="0.35"/>
    <row r="785" ht="14.25" customHeight="1" x14ac:dyDescent="0.35"/>
    <row r="786" ht="14.25" customHeight="1" x14ac:dyDescent="0.35"/>
    <row r="787" ht="14.25" customHeight="1" x14ac:dyDescent="0.35"/>
    <row r="788" ht="14.25" customHeight="1" x14ac:dyDescent="0.35"/>
    <row r="789" ht="14.25" customHeight="1" x14ac:dyDescent="0.35"/>
    <row r="790" ht="14.25" customHeight="1" x14ac:dyDescent="0.35"/>
    <row r="791" ht="14.25" customHeight="1" x14ac:dyDescent="0.35"/>
    <row r="792" ht="14.25" customHeight="1" x14ac:dyDescent="0.35"/>
    <row r="793" ht="14.25" customHeight="1" x14ac:dyDescent="0.35"/>
    <row r="794" ht="14.25" customHeight="1" x14ac:dyDescent="0.35"/>
    <row r="795" ht="14.25" customHeight="1" x14ac:dyDescent="0.35"/>
    <row r="796" ht="14.25" customHeight="1" x14ac:dyDescent="0.35"/>
    <row r="797" ht="14.25" customHeight="1" x14ac:dyDescent="0.35"/>
    <row r="798" ht="14.25" customHeight="1" x14ac:dyDescent="0.35"/>
    <row r="799" ht="14.25" customHeight="1" x14ac:dyDescent="0.35"/>
    <row r="800" ht="14.25" customHeight="1" x14ac:dyDescent="0.35"/>
    <row r="801" ht="14.25" customHeight="1" x14ac:dyDescent="0.35"/>
    <row r="802" ht="14.25" customHeight="1" x14ac:dyDescent="0.35"/>
    <row r="803" ht="14.25" customHeight="1" x14ac:dyDescent="0.35"/>
    <row r="804" ht="14.25" customHeight="1" x14ac:dyDescent="0.35"/>
    <row r="805" ht="14.25" customHeight="1" x14ac:dyDescent="0.35"/>
    <row r="806" ht="14.25" customHeight="1" x14ac:dyDescent="0.35"/>
    <row r="807" ht="14.25" customHeight="1" x14ac:dyDescent="0.35"/>
    <row r="808" ht="14.25" customHeight="1" x14ac:dyDescent="0.35"/>
    <row r="809" ht="14.25" customHeight="1" x14ac:dyDescent="0.35"/>
    <row r="810" ht="14.25" customHeight="1" x14ac:dyDescent="0.35"/>
    <row r="811" ht="14.25" customHeight="1" x14ac:dyDescent="0.35"/>
    <row r="812" ht="14.25" customHeight="1" x14ac:dyDescent="0.35"/>
    <row r="813" ht="14.25" customHeight="1" x14ac:dyDescent="0.35"/>
    <row r="814" ht="14.25" customHeight="1" x14ac:dyDescent="0.35"/>
    <row r="815" ht="14.25" customHeight="1" x14ac:dyDescent="0.35"/>
    <row r="816" ht="14.25" customHeight="1" x14ac:dyDescent="0.35"/>
    <row r="817" ht="14.25" customHeight="1" x14ac:dyDescent="0.35"/>
    <row r="818" ht="14.25" customHeight="1" x14ac:dyDescent="0.35"/>
    <row r="819" ht="14.25" customHeight="1" x14ac:dyDescent="0.35"/>
    <row r="820" ht="14.25" customHeight="1" x14ac:dyDescent="0.35"/>
    <row r="821" ht="14.25" customHeight="1" x14ac:dyDescent="0.35"/>
    <row r="822" ht="14.25" customHeight="1" x14ac:dyDescent="0.35"/>
    <row r="823" ht="14.25" customHeight="1" x14ac:dyDescent="0.35"/>
    <row r="824" ht="14.25" customHeight="1" x14ac:dyDescent="0.35"/>
    <row r="825" ht="14.25" customHeight="1" x14ac:dyDescent="0.35"/>
    <row r="826" ht="14.25" customHeight="1" x14ac:dyDescent="0.35"/>
    <row r="827" ht="14.25" customHeight="1" x14ac:dyDescent="0.35"/>
    <row r="828" ht="14.25" customHeight="1" x14ac:dyDescent="0.35"/>
    <row r="829" ht="14.25" customHeight="1" x14ac:dyDescent="0.35"/>
    <row r="830" ht="14.25" customHeight="1" x14ac:dyDescent="0.35"/>
    <row r="831" ht="14.25" customHeight="1" x14ac:dyDescent="0.35"/>
    <row r="832" ht="14.25" customHeight="1" x14ac:dyDescent="0.35"/>
    <row r="833" ht="14.25" customHeight="1" x14ac:dyDescent="0.35"/>
    <row r="834" ht="14.25" customHeight="1" x14ac:dyDescent="0.35"/>
    <row r="835" ht="14.25" customHeight="1" x14ac:dyDescent="0.35"/>
    <row r="836" ht="14.25" customHeight="1" x14ac:dyDescent="0.35"/>
    <row r="837" ht="14.25" customHeight="1" x14ac:dyDescent="0.35"/>
    <row r="838" ht="14.25" customHeight="1" x14ac:dyDescent="0.35"/>
    <row r="839" ht="14.25" customHeight="1" x14ac:dyDescent="0.35"/>
    <row r="840" ht="14.25" customHeight="1" x14ac:dyDescent="0.35"/>
    <row r="841" ht="14.25" customHeight="1" x14ac:dyDescent="0.35"/>
    <row r="842" ht="14.25" customHeight="1" x14ac:dyDescent="0.35"/>
    <row r="843" ht="14.25" customHeight="1" x14ac:dyDescent="0.35"/>
    <row r="844" ht="14.25" customHeight="1" x14ac:dyDescent="0.35"/>
    <row r="845" ht="14.25" customHeight="1" x14ac:dyDescent="0.35"/>
    <row r="846" ht="14.25" customHeight="1" x14ac:dyDescent="0.35"/>
    <row r="847" ht="14.25" customHeight="1" x14ac:dyDescent="0.35"/>
    <row r="848" ht="14.25" customHeight="1" x14ac:dyDescent="0.35"/>
    <row r="849" ht="14.25" customHeight="1" x14ac:dyDescent="0.35"/>
    <row r="850" ht="14.25" customHeight="1" x14ac:dyDescent="0.35"/>
    <row r="851" ht="14.25" customHeight="1" x14ac:dyDescent="0.35"/>
    <row r="852" ht="14.25" customHeight="1" x14ac:dyDescent="0.35"/>
    <row r="853" ht="14.25" customHeight="1" x14ac:dyDescent="0.35"/>
    <row r="854" ht="14.25" customHeight="1" x14ac:dyDescent="0.35"/>
    <row r="855" ht="14.25" customHeight="1" x14ac:dyDescent="0.35"/>
    <row r="856" ht="14.25" customHeight="1" x14ac:dyDescent="0.35"/>
    <row r="857" ht="14.25" customHeight="1" x14ac:dyDescent="0.35"/>
    <row r="858" ht="14.25" customHeight="1" x14ac:dyDescent="0.35"/>
    <row r="859" ht="14.25" customHeight="1" x14ac:dyDescent="0.35"/>
    <row r="860" ht="14.25" customHeight="1" x14ac:dyDescent="0.35"/>
    <row r="861" ht="14.25" customHeight="1" x14ac:dyDescent="0.35"/>
    <row r="862" ht="14.25" customHeight="1" x14ac:dyDescent="0.35"/>
    <row r="863" ht="14.25" customHeight="1" x14ac:dyDescent="0.35"/>
    <row r="864" ht="14.25" customHeight="1" x14ac:dyDescent="0.35"/>
    <row r="865" ht="14.25" customHeight="1" x14ac:dyDescent="0.35"/>
    <row r="866" ht="14.25" customHeight="1" x14ac:dyDescent="0.35"/>
    <row r="867" ht="14.25" customHeight="1" x14ac:dyDescent="0.35"/>
    <row r="868" ht="14.25" customHeight="1" x14ac:dyDescent="0.35"/>
    <row r="869" ht="14.25" customHeight="1" x14ac:dyDescent="0.35"/>
    <row r="870" ht="14.25" customHeight="1" x14ac:dyDescent="0.35"/>
    <row r="871" ht="14.25" customHeight="1" x14ac:dyDescent="0.35"/>
    <row r="872" ht="14.25" customHeight="1" x14ac:dyDescent="0.35"/>
    <row r="873" ht="14.25" customHeight="1" x14ac:dyDescent="0.35"/>
    <row r="874" ht="14.25" customHeight="1" x14ac:dyDescent="0.35"/>
    <row r="875" ht="14.25" customHeight="1" x14ac:dyDescent="0.35"/>
    <row r="876" ht="14.25" customHeight="1" x14ac:dyDescent="0.35"/>
    <row r="877" ht="14.25" customHeight="1" x14ac:dyDescent="0.35"/>
    <row r="878" ht="14.25" customHeight="1" x14ac:dyDescent="0.35"/>
    <row r="879" ht="14.25" customHeight="1" x14ac:dyDescent="0.35"/>
    <row r="880" ht="14.25" customHeight="1" x14ac:dyDescent="0.35"/>
    <row r="881" ht="14.25" customHeight="1" x14ac:dyDescent="0.35"/>
    <row r="882" ht="14.25" customHeight="1" x14ac:dyDescent="0.35"/>
    <row r="883" ht="14.25" customHeight="1" x14ac:dyDescent="0.35"/>
    <row r="884" ht="14.25" customHeight="1" x14ac:dyDescent="0.35"/>
    <row r="885" ht="14.25" customHeight="1" x14ac:dyDescent="0.35"/>
    <row r="886" ht="14.25" customHeight="1" x14ac:dyDescent="0.35"/>
    <row r="887" ht="14.25" customHeight="1" x14ac:dyDescent="0.35"/>
    <row r="888" ht="14.25" customHeight="1" x14ac:dyDescent="0.35"/>
    <row r="889" ht="14.25" customHeight="1" x14ac:dyDescent="0.35"/>
    <row r="890" ht="14.25" customHeight="1" x14ac:dyDescent="0.35"/>
    <row r="891" ht="14.25" customHeight="1" x14ac:dyDescent="0.35"/>
    <row r="892" ht="14.25" customHeight="1" x14ac:dyDescent="0.35"/>
    <row r="893" ht="14.25" customHeight="1" x14ac:dyDescent="0.35"/>
    <row r="894" ht="14.25" customHeight="1" x14ac:dyDescent="0.35"/>
    <row r="895" ht="14.25" customHeight="1" x14ac:dyDescent="0.35"/>
    <row r="896" ht="14.25" customHeight="1" x14ac:dyDescent="0.35"/>
    <row r="897" ht="14.25" customHeight="1" x14ac:dyDescent="0.35"/>
    <row r="898" ht="14.25" customHeight="1" x14ac:dyDescent="0.35"/>
    <row r="899" ht="14.25" customHeight="1" x14ac:dyDescent="0.35"/>
    <row r="900" ht="14.25" customHeight="1" x14ac:dyDescent="0.35"/>
    <row r="901" ht="14.25" customHeight="1" x14ac:dyDescent="0.35"/>
    <row r="902" ht="14.25" customHeight="1" x14ac:dyDescent="0.35"/>
    <row r="903" ht="14.25" customHeight="1" x14ac:dyDescent="0.35"/>
    <row r="904" ht="14.25" customHeight="1" x14ac:dyDescent="0.35"/>
    <row r="905" ht="14.25" customHeight="1" x14ac:dyDescent="0.35"/>
    <row r="906" ht="14.25" customHeight="1" x14ac:dyDescent="0.35"/>
    <row r="907" ht="14.25" customHeight="1" x14ac:dyDescent="0.35"/>
    <row r="908" ht="14.25" customHeight="1" x14ac:dyDescent="0.35"/>
    <row r="909" ht="14.25" customHeight="1" x14ac:dyDescent="0.35"/>
    <row r="910" ht="14.25" customHeight="1" x14ac:dyDescent="0.35"/>
    <row r="911" ht="14.25" customHeight="1" x14ac:dyDescent="0.35"/>
    <row r="912" ht="14.25" customHeight="1" x14ac:dyDescent="0.35"/>
    <row r="913" ht="14.25" customHeight="1" x14ac:dyDescent="0.35"/>
    <row r="914" ht="14.25" customHeight="1" x14ac:dyDescent="0.35"/>
    <row r="915" ht="14.25" customHeight="1" x14ac:dyDescent="0.35"/>
    <row r="916" ht="14.25" customHeight="1" x14ac:dyDescent="0.35"/>
    <row r="917" ht="14.25" customHeight="1" x14ac:dyDescent="0.35"/>
    <row r="918" ht="14.25" customHeight="1" x14ac:dyDescent="0.35"/>
    <row r="919" ht="14.25" customHeight="1" x14ac:dyDescent="0.35"/>
    <row r="920" ht="14.25" customHeight="1" x14ac:dyDescent="0.35"/>
    <row r="921" ht="14.25" customHeight="1" x14ac:dyDescent="0.35"/>
    <row r="922" ht="14.25" customHeight="1" x14ac:dyDescent="0.35"/>
    <row r="923" ht="14.25" customHeight="1" x14ac:dyDescent="0.35"/>
    <row r="924" ht="14.25" customHeight="1" x14ac:dyDescent="0.35"/>
    <row r="925" ht="14.25" customHeight="1" x14ac:dyDescent="0.35"/>
    <row r="926" ht="14.25" customHeight="1" x14ac:dyDescent="0.35"/>
    <row r="927" ht="14.25" customHeight="1" x14ac:dyDescent="0.35"/>
    <row r="928" ht="14.25" customHeight="1" x14ac:dyDescent="0.35"/>
    <row r="929" ht="14.25" customHeight="1" x14ac:dyDescent="0.35"/>
    <row r="930" ht="14.25" customHeight="1" x14ac:dyDescent="0.35"/>
    <row r="931" ht="14.25" customHeight="1" x14ac:dyDescent="0.35"/>
    <row r="932" ht="14.25" customHeight="1" x14ac:dyDescent="0.35"/>
    <row r="933" ht="14.25" customHeight="1" x14ac:dyDescent="0.35"/>
    <row r="934" ht="14.25" customHeight="1" x14ac:dyDescent="0.35"/>
    <row r="935" ht="14.25" customHeight="1" x14ac:dyDescent="0.35"/>
    <row r="936" ht="14.25" customHeight="1" x14ac:dyDescent="0.35"/>
    <row r="937" ht="14.25" customHeight="1" x14ac:dyDescent="0.35"/>
    <row r="938" ht="14.25" customHeight="1" x14ac:dyDescent="0.35"/>
    <row r="939" ht="14.25" customHeight="1" x14ac:dyDescent="0.35"/>
    <row r="940" ht="14.25" customHeight="1" x14ac:dyDescent="0.35"/>
    <row r="941" ht="14.25" customHeight="1" x14ac:dyDescent="0.35"/>
    <row r="942" ht="14.25" customHeight="1" x14ac:dyDescent="0.35"/>
    <row r="943" ht="14.25" customHeight="1" x14ac:dyDescent="0.35"/>
    <row r="944" ht="14.25" customHeight="1" x14ac:dyDescent="0.35"/>
    <row r="945" ht="14.25" customHeight="1" x14ac:dyDescent="0.35"/>
    <row r="946" ht="14.25" customHeight="1" x14ac:dyDescent="0.35"/>
    <row r="947" ht="14.25" customHeight="1" x14ac:dyDescent="0.35"/>
    <row r="948" ht="14.25" customHeight="1" x14ac:dyDescent="0.35"/>
    <row r="949" ht="14.25" customHeight="1" x14ac:dyDescent="0.35"/>
    <row r="950" ht="14.25" customHeight="1" x14ac:dyDescent="0.35"/>
    <row r="951" ht="14.25" customHeight="1" x14ac:dyDescent="0.35"/>
    <row r="952" ht="14.25" customHeight="1" x14ac:dyDescent="0.35"/>
    <row r="953" ht="14.25" customHeight="1" x14ac:dyDescent="0.35"/>
    <row r="954" ht="14.25" customHeight="1" x14ac:dyDescent="0.35"/>
    <row r="955" ht="14.25" customHeight="1" x14ac:dyDescent="0.35"/>
    <row r="956" ht="14.25" customHeight="1" x14ac:dyDescent="0.35"/>
    <row r="957" ht="14.25" customHeight="1" x14ac:dyDescent="0.35"/>
    <row r="958" ht="14.25" customHeight="1" x14ac:dyDescent="0.35"/>
    <row r="959" ht="14.25" customHeight="1" x14ac:dyDescent="0.35"/>
    <row r="960" ht="14.25" customHeight="1" x14ac:dyDescent="0.35"/>
    <row r="961" ht="14.25" customHeight="1" x14ac:dyDescent="0.35"/>
    <row r="962" ht="14.25" customHeight="1" x14ac:dyDescent="0.35"/>
    <row r="963" ht="14.25" customHeight="1" x14ac:dyDescent="0.35"/>
    <row r="964" ht="14.25" customHeight="1" x14ac:dyDescent="0.35"/>
    <row r="965" ht="14.25" customHeight="1" x14ac:dyDescent="0.35"/>
    <row r="966" ht="14.25" customHeight="1" x14ac:dyDescent="0.35"/>
    <row r="967" ht="14.25" customHeight="1" x14ac:dyDescent="0.35"/>
    <row r="968" ht="14.25" customHeight="1" x14ac:dyDescent="0.35"/>
    <row r="969" ht="14.25" customHeight="1" x14ac:dyDescent="0.35"/>
    <row r="970" ht="14.25" customHeight="1" x14ac:dyDescent="0.35"/>
    <row r="971" ht="14.25" customHeight="1" x14ac:dyDescent="0.35"/>
    <row r="972" ht="14.25" customHeight="1" x14ac:dyDescent="0.35"/>
    <row r="973" ht="14.25" customHeight="1" x14ac:dyDescent="0.35"/>
    <row r="974" ht="14.25" customHeight="1" x14ac:dyDescent="0.35"/>
    <row r="975" ht="14.25" customHeight="1" x14ac:dyDescent="0.35"/>
    <row r="976" ht="14.25" customHeight="1" x14ac:dyDescent="0.35"/>
    <row r="977" ht="14.25" customHeight="1" x14ac:dyDescent="0.35"/>
    <row r="978" ht="14.25" customHeight="1" x14ac:dyDescent="0.35"/>
    <row r="979" ht="14.25" customHeight="1" x14ac:dyDescent="0.35"/>
    <row r="980" ht="14.25" customHeight="1" x14ac:dyDescent="0.35"/>
    <row r="981" ht="14.25" customHeight="1" x14ac:dyDescent="0.35"/>
    <row r="982" ht="14.25" customHeight="1" x14ac:dyDescent="0.35"/>
    <row r="983" ht="14.25" customHeight="1" x14ac:dyDescent="0.35"/>
    <row r="984" ht="14.25" customHeight="1" x14ac:dyDescent="0.35"/>
    <row r="985" ht="14.25" customHeight="1" x14ac:dyDescent="0.35"/>
    <row r="986" ht="14.25" customHeight="1" x14ac:dyDescent="0.35"/>
    <row r="987" ht="14.25" customHeight="1" x14ac:dyDescent="0.35"/>
    <row r="988" ht="14.25" customHeight="1" x14ac:dyDescent="0.35"/>
    <row r="989" ht="14.25" customHeight="1" x14ac:dyDescent="0.35"/>
    <row r="990" ht="14.25" customHeight="1" x14ac:dyDescent="0.35"/>
    <row r="991" ht="14.25" customHeight="1" x14ac:dyDescent="0.35"/>
    <row r="992" ht="14.25" customHeight="1" x14ac:dyDescent="0.35"/>
    <row r="993" ht="14.25" customHeight="1" x14ac:dyDescent="0.35"/>
    <row r="994" ht="14.25" customHeight="1" x14ac:dyDescent="0.35"/>
    <row r="995" ht="14.25" customHeight="1" x14ac:dyDescent="0.35"/>
    <row r="996" ht="14.25" customHeight="1" x14ac:dyDescent="0.35"/>
    <row r="997" ht="14.25" customHeight="1" x14ac:dyDescent="0.35"/>
    <row r="998" ht="14.25" customHeight="1" x14ac:dyDescent="0.35"/>
    <row r="999" ht="14.25" customHeight="1" x14ac:dyDescent="0.35"/>
  </sheetData>
  <mergeCells count="70">
    <mergeCell ref="U103:V103"/>
    <mergeCell ref="W103:X103"/>
    <mergeCell ref="I102:J102"/>
    <mergeCell ref="K102:N102"/>
    <mergeCell ref="O102:P102"/>
    <mergeCell ref="Q102:R102"/>
    <mergeCell ref="S102:T102"/>
    <mergeCell ref="U102:V102"/>
    <mergeCell ref="W102:X102"/>
    <mergeCell ref="I103:J103"/>
    <mergeCell ref="K103:N103"/>
    <mergeCell ref="O103:P103"/>
    <mergeCell ref="Q103:R103"/>
    <mergeCell ref="S103:T103"/>
    <mergeCell ref="U82:V82"/>
    <mergeCell ref="W82:X82"/>
    <mergeCell ref="I83:J83"/>
    <mergeCell ref="K83:N83"/>
    <mergeCell ref="O83:P83"/>
    <mergeCell ref="Q83:R83"/>
    <mergeCell ref="S83:T83"/>
    <mergeCell ref="U83:V83"/>
    <mergeCell ref="W83:X83"/>
    <mergeCell ref="I82:J82"/>
    <mergeCell ref="K82:N82"/>
    <mergeCell ref="O82:P82"/>
    <mergeCell ref="Q82:R82"/>
    <mergeCell ref="S82:T82"/>
    <mergeCell ref="U72:V72"/>
    <mergeCell ref="W72:X72"/>
    <mergeCell ref="I73:J73"/>
    <mergeCell ref="K73:N73"/>
    <mergeCell ref="O73:P73"/>
    <mergeCell ref="Q73:R73"/>
    <mergeCell ref="S73:T73"/>
    <mergeCell ref="U73:V73"/>
    <mergeCell ref="W73:X73"/>
    <mergeCell ref="I72:J72"/>
    <mergeCell ref="K72:N72"/>
    <mergeCell ref="O72:P72"/>
    <mergeCell ref="Q72:R72"/>
    <mergeCell ref="S72:T72"/>
    <mergeCell ref="U60:V60"/>
    <mergeCell ref="W60:X60"/>
    <mergeCell ref="I61:J61"/>
    <mergeCell ref="K61:N61"/>
    <mergeCell ref="O61:P61"/>
    <mergeCell ref="Q61:R61"/>
    <mergeCell ref="S61:T61"/>
    <mergeCell ref="U61:V61"/>
    <mergeCell ref="W61:X61"/>
    <mergeCell ref="I60:J60"/>
    <mergeCell ref="K60:N60"/>
    <mergeCell ref="O60:P60"/>
    <mergeCell ref="Q60:R60"/>
    <mergeCell ref="S60:T60"/>
    <mergeCell ref="U92:V92"/>
    <mergeCell ref="W92:X92"/>
    <mergeCell ref="I93:J93"/>
    <mergeCell ref="K93:N93"/>
    <mergeCell ref="O93:P93"/>
    <mergeCell ref="Q93:R93"/>
    <mergeCell ref="S93:T93"/>
    <mergeCell ref="U93:V93"/>
    <mergeCell ref="W93:X93"/>
    <mergeCell ref="I92:J92"/>
    <mergeCell ref="K92:N92"/>
    <mergeCell ref="O92:P92"/>
    <mergeCell ref="Q92:R92"/>
    <mergeCell ref="S92:T92"/>
  </mergeCells>
  <pageMargins left="0.25" right="0.25" top="0.34722222222222221" bottom="0.34722222222222221" header="0.1388888888888889" footer="0.1388888888888889"/>
  <pageSetup scale="8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Arbeitsblätter</vt:lpstr>
      </vt:variant>
      <vt:variant>
        <vt:i4>3</vt:i4>
      </vt:variant>
      <vt:variant>
        <vt:lpstr>Benannte Bereiche</vt:lpstr>
      </vt:variant>
      <vt:variant>
        <vt:i4>2</vt:i4>
      </vt:variant>
    </vt:vector>
  </HeadingPairs>
  <TitlesOfParts>
    <vt:vector size="5" baseType="lpstr">
      <vt:lpstr>2025</vt:lpstr>
      <vt:lpstr>Backup19_02_26</vt:lpstr>
      <vt:lpstr>Auszahlungen</vt:lpstr>
      <vt:lpstr>Auszahlungen!Druckbereich</vt:lpstr>
      <vt:lpstr>Auszahlungen!Drucktitel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Frank Haberstroh</dc:creator>
  <cp:lastModifiedBy>Frank Haberstroh</cp:lastModifiedBy>
  <cp:lastPrinted>2026-02-19T16:08:20Z</cp:lastPrinted>
  <dcterms:created xsi:type="dcterms:W3CDTF">2025-02-04T07:59:34Z</dcterms:created>
  <dcterms:modified xsi:type="dcterms:W3CDTF">2026-04-27T14:36:20Z</dcterms:modified>
</cp:coreProperties>
</file>